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loridor\Desktop\"/>
    </mc:Choice>
  </mc:AlternateContent>
  <xr:revisionPtr revIDLastSave="0" documentId="8_{2614364B-9F4F-4480-B02D-F8DB0E3CD1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°A 2026" sheetId="1" r:id="rId1"/>
    <sheet name="1°B 2026" sheetId="2" r:id="rId2"/>
    <sheet name="1°C 2026" sheetId="3" r:id="rId3"/>
    <sheet name="1°D 2026" sheetId="4" r:id="rId4"/>
    <sheet name="1°E 2026" sheetId="5" r:id="rId5"/>
    <sheet name="2°A 2026" sheetId="22" r:id="rId6"/>
    <sheet name="2°B 2026" sheetId="23" r:id="rId7"/>
    <sheet name="2°C 2026" sheetId="24" r:id="rId8"/>
    <sheet name="2°D 2026" sheetId="26" r:id="rId9"/>
    <sheet name="2°E 2026" sheetId="25" r:id="rId10"/>
    <sheet name="3°A 2026" sheetId="11" r:id="rId11"/>
    <sheet name="3°B 2026" sheetId="12" r:id="rId12"/>
    <sheet name="3°C 2026" sheetId="13" r:id="rId13"/>
    <sheet name="3°D 2026" sheetId="14" r:id="rId14"/>
    <sheet name="3°E 2026" sheetId="15" r:id="rId15"/>
    <sheet name="4°A 2026" sheetId="6" r:id="rId16"/>
    <sheet name="4°B 2026" sheetId="7" r:id="rId17"/>
    <sheet name="4°C 2026" sheetId="8" r:id="rId18"/>
    <sheet name="4°D 2026" sheetId="9" r:id="rId19"/>
    <sheet name="4°E 2026" sheetId="10" r:id="rId20"/>
    <sheet name="RESUMEN" sheetId="21" r:id="rId21"/>
  </sheets>
  <definedNames>
    <definedName name="_xlnm.Print_Area" localSheetId="0">'1°A 2026'!$A$1:$G$52</definedName>
    <definedName name="_xlnm.Print_Area" localSheetId="1">'1°B 2026'!$A$1:$G$50</definedName>
    <definedName name="_xlnm.Print_Area" localSheetId="2">'1°C 2026'!$A$1:$G$51</definedName>
    <definedName name="_xlnm.Print_Area" localSheetId="3">'1°D 2026'!$A$1:$G$53</definedName>
    <definedName name="_xlnm.Print_Area" localSheetId="4">'1°E 2026'!$A$1:$G$52</definedName>
    <definedName name="_xlnm.Print_Area" localSheetId="5">'2°A 2026'!$A$1:$G$49</definedName>
    <definedName name="_xlnm.Print_Area" localSheetId="6">'2°B 2026'!$A$1:$G$49</definedName>
    <definedName name="_xlnm.Print_Area" localSheetId="7">'2°C 2026'!$A$1:$G$49</definedName>
    <definedName name="_xlnm.Print_Area" localSheetId="8">'2°D 2026'!$A$1:$G$53</definedName>
    <definedName name="_xlnm.Print_Area" localSheetId="9">'2°E 2026'!$A$1:$G$49</definedName>
    <definedName name="_xlnm.Print_Area" localSheetId="11">'3°B 2026'!$A$1:$G$55</definedName>
    <definedName name="_xlnm.Print_Area" localSheetId="12">'3°C 2026'!$A$1:$G$56</definedName>
    <definedName name="_xlnm.Print_Area" localSheetId="13">'3°D 2026'!$A$1:$G$52</definedName>
    <definedName name="_xlnm.Print_Area" localSheetId="14">'3°E 2026'!$A$1:$G$52</definedName>
    <definedName name="_xlnm.Print_Area" localSheetId="15">'4°A 2026'!$A$1:$G$51</definedName>
    <definedName name="_xlnm.Print_Area" localSheetId="17">'4°C 2026'!$A$1:$G$50</definedName>
    <definedName name="_xlnm.Print_Area" localSheetId="18">'4°D 2026'!$A$1:$G$52</definedName>
    <definedName name="_xlnm.Print_Area" localSheetId="19">'4°E 2026'!$A$1:$G$49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1" l="1"/>
  <c r="F22" i="21"/>
  <c r="F23" i="21"/>
  <c r="F24" i="21"/>
  <c r="F25" i="21"/>
  <c r="F26" i="21"/>
  <c r="F16" i="21"/>
  <c r="F17" i="21"/>
  <c r="F18" i="21"/>
  <c r="F19" i="21"/>
  <c r="F20" i="21"/>
  <c r="F11" i="21"/>
  <c r="F12" i="21"/>
  <c r="F13" i="21"/>
  <c r="F14" i="21"/>
  <c r="F4" i="21"/>
  <c r="F5" i="21"/>
  <c r="F6" i="21"/>
  <c r="F7" i="21"/>
  <c r="F8" i="21"/>
  <c r="D27" i="21"/>
  <c r="E27" i="21"/>
  <c r="C27" i="21"/>
  <c r="D21" i="21"/>
  <c r="E21" i="21"/>
  <c r="C21" i="21"/>
  <c r="D9" i="21"/>
  <c r="E9" i="21"/>
  <c r="C9" i="21"/>
  <c r="D15" i="21"/>
  <c r="E15" i="21"/>
  <c r="C15" i="21"/>
  <c r="F27" i="21" l="1"/>
  <c r="G22" i="21" s="1"/>
  <c r="F15" i="21"/>
  <c r="G10" i="21" s="1"/>
  <c r="F21" i="21"/>
  <c r="G16" i="21" s="1"/>
  <c r="D28" i="21"/>
  <c r="E28" i="21"/>
  <c r="C28" i="21"/>
  <c r="F9" i="21"/>
  <c r="G4" i="21" s="1"/>
  <c r="H4" i="21" l="1"/>
  <c r="F28" i="21"/>
  <c r="G28" i="21" s="1"/>
</calcChain>
</file>

<file path=xl/sharedStrings.xml><?xml version="1.0" encoding="utf-8"?>
<sst xmlns="http://schemas.openxmlformats.org/spreadsheetml/2006/main" count="2265" uniqueCount="1922">
  <si>
    <t>CENTRO EDUCATIVO SALESIANOS TALCA  ( CEST )      TECNICO PROFESIONAL</t>
  </si>
  <si>
    <t xml:space="preserve">NOMINA  DE ALUMNOS                                       </t>
  </si>
  <si>
    <t>Nº de Orden</t>
  </si>
  <si>
    <t>Nº de Matr.</t>
  </si>
  <si>
    <t>FECHA</t>
  </si>
  <si>
    <t>RUN</t>
  </si>
  <si>
    <t>FECHA NACIMIENTO</t>
  </si>
  <si>
    <t>Ingreso</t>
  </si>
  <si>
    <t>Retiro</t>
  </si>
  <si>
    <t>NOMBRE COMPLETO</t>
  </si>
  <si>
    <t>Observaciones:</t>
  </si>
  <si>
    <t>SEXO: MASCULINO</t>
  </si>
  <si>
    <t xml:space="preserve"> </t>
  </si>
  <si>
    <t xml:space="preserve">  </t>
  </si>
  <si>
    <t>22408631-8</t>
  </si>
  <si>
    <t>SUAZO ALVAREZ RUBEN ALEJANDRO</t>
  </si>
  <si>
    <t>22711001-5</t>
  </si>
  <si>
    <t>Curso</t>
  </si>
  <si>
    <t>Matrícula Inicial</t>
  </si>
  <si>
    <t>Altas</t>
  </si>
  <si>
    <t>Bajas</t>
  </si>
  <si>
    <t>Número de Alumnos Actual</t>
  </si>
  <si>
    <t>Total Actual</t>
  </si>
  <si>
    <t>Total CEST</t>
  </si>
  <si>
    <t>1ºA</t>
  </si>
  <si>
    <t>1ºB</t>
  </si>
  <si>
    <t>1ºC</t>
  </si>
  <si>
    <t>1ºD</t>
  </si>
  <si>
    <t>1ºE</t>
  </si>
  <si>
    <t>2ºA</t>
  </si>
  <si>
    <t>2ºB</t>
  </si>
  <si>
    <t>2ºC</t>
  </si>
  <si>
    <t>2ºD</t>
  </si>
  <si>
    <t>2ºE</t>
  </si>
  <si>
    <t>3ºA</t>
  </si>
  <si>
    <t>3ºB</t>
  </si>
  <si>
    <t>3ºC</t>
  </si>
  <si>
    <t>3ºD</t>
  </si>
  <si>
    <t>3ºE</t>
  </si>
  <si>
    <t>4ºA</t>
  </si>
  <si>
    <t>4ºB</t>
  </si>
  <si>
    <t>4ºC</t>
  </si>
  <si>
    <t>4ºD</t>
  </si>
  <si>
    <t>4ºE</t>
  </si>
  <si>
    <t>TOTAL</t>
  </si>
  <si>
    <t>FECHA:</t>
  </si>
  <si>
    <t>25.06.2009</t>
  </si>
  <si>
    <t>RAMIREZ SEPULVEDA EXEQUIEL ANDRES</t>
  </si>
  <si>
    <t>20.06.2008</t>
  </si>
  <si>
    <t>23261725-K</t>
  </si>
  <si>
    <t>ASTORGA GONZALEZ CRISTIAN DAMIAN</t>
  </si>
  <si>
    <t>23129344-2</t>
  </si>
  <si>
    <t>22.09.2009</t>
  </si>
  <si>
    <t>AYALA MORA OMAR FRANCISCO</t>
  </si>
  <si>
    <t>22911590-1</t>
  </si>
  <si>
    <t>26.12.2008</t>
  </si>
  <si>
    <t>23093570-K</t>
  </si>
  <si>
    <t>CARRASCO JORQUERA HALAN FRANCISCO</t>
  </si>
  <si>
    <t>22833590-8</t>
  </si>
  <si>
    <t>26.09.2008</t>
  </si>
  <si>
    <t>CASTRO GONZALEZ JOAQUIN IGNACIO</t>
  </si>
  <si>
    <t>23255336-7</t>
  </si>
  <si>
    <t>18.02.2010</t>
  </si>
  <si>
    <t>CORDERO VILCHES CRISTOBAL ANDRÉS</t>
  </si>
  <si>
    <t>23276718-9</t>
  </si>
  <si>
    <t>28.02.2010</t>
  </si>
  <si>
    <t>CORNEJO CORNEJO IAN CAMILO</t>
  </si>
  <si>
    <t>23245548-9</t>
  </si>
  <si>
    <t>06.02.2010</t>
  </si>
  <si>
    <t>DUMONT ORELLANA NICOLAS ANDRES</t>
  </si>
  <si>
    <t>23222214-K</t>
  </si>
  <si>
    <t>DURAN OLAVE DEREK BENJAMÍN DE LA CRUZ</t>
  </si>
  <si>
    <t>23086886-7</t>
  </si>
  <si>
    <t>31.07.2009</t>
  </si>
  <si>
    <t>FUENTES SAN MARTIN DIEGO IGNACIO</t>
  </si>
  <si>
    <t>23011917-1</t>
  </si>
  <si>
    <t>27.04.2009</t>
  </si>
  <si>
    <t>GONZALEZ SAZO BENJAMÍN ARNOLDO</t>
  </si>
  <si>
    <t>23177592-7</t>
  </si>
  <si>
    <t>21.11.2009</t>
  </si>
  <si>
    <t>LEIVA LEÓN SEBASTIÁN IGNACIO</t>
  </si>
  <si>
    <t>23081470-8</t>
  </si>
  <si>
    <t>23.07.2009</t>
  </si>
  <si>
    <t>LETELIER GONZALEZ MILLER DAVID ARTURO</t>
  </si>
  <si>
    <t>23106436-2</t>
  </si>
  <si>
    <t>25.08.2009</t>
  </si>
  <si>
    <t>MALIQUEO CUEVAS BASTIÁN ARIEL</t>
  </si>
  <si>
    <t>22991363-8</t>
  </si>
  <si>
    <t>10.04.2009</t>
  </si>
  <si>
    <t>MAUREIRA SOTO MIGUEL ANTONIO</t>
  </si>
  <si>
    <t>23315436-9</t>
  </si>
  <si>
    <t>06.05.2010</t>
  </si>
  <si>
    <t>MONROY INZULZA BENJAMÍN ALEXANDER</t>
  </si>
  <si>
    <t>23080438-9</t>
  </si>
  <si>
    <t>25.07.2009</t>
  </si>
  <si>
    <t>MORA MORALES MAXIMILIANO ANDRÉS</t>
  </si>
  <si>
    <t>23073770-3</t>
  </si>
  <si>
    <t>13.07.2009</t>
  </si>
  <si>
    <t>MOYA ARAVENA JUAN ESTEBAN</t>
  </si>
  <si>
    <t>23134581-7</t>
  </si>
  <si>
    <t>23.09.2009</t>
  </si>
  <si>
    <t>23153628-0</t>
  </si>
  <si>
    <t>25.10.2009</t>
  </si>
  <si>
    <t>LOPEZ REBECO DANTE IGNACIO</t>
  </si>
  <si>
    <t>23207117-6</t>
  </si>
  <si>
    <t>26.12.2009</t>
  </si>
  <si>
    <t>QUINTEROS MIÑO MANUEL ADAN</t>
  </si>
  <si>
    <t>23126848-0</t>
  </si>
  <si>
    <t>21.09.2009</t>
  </si>
  <si>
    <t>RAMOS VARGAS CRISTOBAL GABRIEL</t>
  </si>
  <si>
    <t>23177793-8</t>
  </si>
  <si>
    <t>22.11.2009</t>
  </si>
  <si>
    <t>23257646-4</t>
  </si>
  <si>
    <t>25.02.2010</t>
  </si>
  <si>
    <t>ROJAS BERNAL MARCELO IGNACIO</t>
  </si>
  <si>
    <t>23188111-5</t>
  </si>
  <si>
    <t>26.11.2009</t>
  </si>
  <si>
    <t>RUIZ MEJIAS MAXIMO ETEEN SANTHY</t>
  </si>
  <si>
    <t>23336811-3</t>
  </si>
  <si>
    <t>28.05.2010</t>
  </si>
  <si>
    <t>SAAVEDRA TORRES RENATO ALONSO</t>
  </si>
  <si>
    <t>23021529-4</t>
  </si>
  <si>
    <t>15.05.2009</t>
  </si>
  <si>
    <t>SAAVEDRA RETAMAL BASTIAN ISRAEL</t>
  </si>
  <si>
    <t>23095557-3</t>
  </si>
  <si>
    <t>09.08.2009</t>
  </si>
  <si>
    <t>SALAS CHAPARRO RICARDO ANTONIO</t>
  </si>
  <si>
    <t>23269181-6</t>
  </si>
  <si>
    <t>13.03.2010</t>
  </si>
  <si>
    <t>SANCHEZ RODRIGUEZ VICENTE BASTIÁN</t>
  </si>
  <si>
    <t>23250786-1</t>
  </si>
  <si>
    <t>11.02.2010</t>
  </si>
  <si>
    <t>SANHUEZA ARACIBIA MARTÍN JAVIER</t>
  </si>
  <si>
    <t>23295917-7</t>
  </si>
  <si>
    <t>12.04.2010</t>
  </si>
  <si>
    <t>SOTO ALEGRÍA JESUS ALEXANDER</t>
  </si>
  <si>
    <t>23147369-6</t>
  </si>
  <si>
    <t>11.10.2009</t>
  </si>
  <si>
    <t>SOTO FUENTES JAVIER ALONSO</t>
  </si>
  <si>
    <t>23309782-9</t>
  </si>
  <si>
    <t>28.04.2010</t>
  </si>
  <si>
    <t>VALDES GAETE AGUSTIN ANTONIO</t>
  </si>
  <si>
    <t>23289468-7</t>
  </si>
  <si>
    <t>05.04.2010</t>
  </si>
  <si>
    <t>VALENZUELA ESCOBAR SEBASTIAN ANTONIO</t>
  </si>
  <si>
    <t>23285563-0</t>
  </si>
  <si>
    <t>29.03.2010</t>
  </si>
  <si>
    <t>VELOZ CONTRERAS LUIS DAVID</t>
  </si>
  <si>
    <t>23287723-5</t>
  </si>
  <si>
    <t>01.04.2010</t>
  </si>
  <si>
    <t>YEVENES NOVOA VICENTE ALEXANDER</t>
  </si>
  <si>
    <t>23170557-0</t>
  </si>
  <si>
    <t>05.11.2009</t>
  </si>
  <si>
    <t>ASCENCIO ROZAS MAXIMO MARIANO</t>
  </si>
  <si>
    <t>22882550-6</t>
  </si>
  <si>
    <t>24.11.2008</t>
  </si>
  <si>
    <t>BECERRA PIZARRO BASTIAN IGNACIO</t>
  </si>
  <si>
    <t>23256610-8</t>
  </si>
  <si>
    <t>CACERES ESPINOZA ANTONIO AURELIO</t>
  </si>
  <si>
    <t>23010145-0</t>
  </si>
  <si>
    <t>FLORES GAJARDO BENJAMIN FRANCISCO</t>
  </si>
  <si>
    <t>23272908-2</t>
  </si>
  <si>
    <t>CANALES MORALES BRANDON MANUEL</t>
  </si>
  <si>
    <t>23118382-5</t>
  </si>
  <si>
    <t>CASTRO PARRA DAMIAN EDUARDO</t>
  </si>
  <si>
    <t>100407967-8</t>
  </si>
  <si>
    <t>COBA ECHEVERRIA ADRIAN ALEJANDRO</t>
  </si>
  <si>
    <t>23186739-2</t>
  </si>
  <si>
    <t>CRESPO MUÑOZ JOAQUIN ANTONIO</t>
  </si>
  <si>
    <t>23241809-5</t>
  </si>
  <si>
    <t>DIAZ NUÑEZ MISAEL ALEJANDRO</t>
  </si>
  <si>
    <t>23091159-2</t>
  </si>
  <si>
    <t>DURAN LANDABUR SEBASTIAN IGNACIO</t>
  </si>
  <si>
    <t>23237521-3</t>
  </si>
  <si>
    <t>FUENTES NAVARRETE FRANCO ANTONIO</t>
  </si>
  <si>
    <t>23031930-8</t>
  </si>
  <si>
    <t>MENDOZA TAPIA ROBERTO BASTIAN</t>
  </si>
  <si>
    <t>23113244-9</t>
  </si>
  <si>
    <t>GARCIA ROMERO MATIAS ALONSO</t>
  </si>
  <si>
    <t>23244466-5</t>
  </si>
  <si>
    <t>GATICA PINOCHET BASTIAN ANDRES</t>
  </si>
  <si>
    <t>23186730-9</t>
  </si>
  <si>
    <t>GONZALEZ FIGUEROA VICENTE ANTONIO</t>
  </si>
  <si>
    <t>23355218-6</t>
  </si>
  <si>
    <t>GRANDI VALENZUELA MARTIN IGNACIO</t>
  </si>
  <si>
    <t>23117651-9</t>
  </si>
  <si>
    <t>JARA LANDERO PABLO ANTONIO</t>
  </si>
  <si>
    <t>23076779-3</t>
  </si>
  <si>
    <t>23328920-5</t>
  </si>
  <si>
    <t>NAVARRETE NUÑEZ FERNANDO ALONSO</t>
  </si>
  <si>
    <t>TOLEDO LLANOS CESAR ALEXIS</t>
  </si>
  <si>
    <t>22995311-7</t>
  </si>
  <si>
    <t>23319973-7</t>
  </si>
  <si>
    <t>NUÑEZ ROJAS CLEMENTE ANTONIO</t>
  </si>
  <si>
    <t>23033338-6</t>
  </si>
  <si>
    <t>23166754-7</t>
  </si>
  <si>
    <t>ORELLANA SILVA BENJAMIN ARIEL</t>
  </si>
  <si>
    <t>23178677-5</t>
  </si>
  <si>
    <t>PALACIOS ESPINOZA JOSE ELIAS</t>
  </si>
  <si>
    <t>23167738-0</t>
  </si>
  <si>
    <t>23092275-6</t>
  </si>
  <si>
    <t>PEREZ VELOSO MARTIN ALEXIS</t>
  </si>
  <si>
    <t>23319109-4</t>
  </si>
  <si>
    <t>POBLETE MUÑOZ JOAQUIN ALEXIS</t>
  </si>
  <si>
    <t>PURCHES VALENZUELA LUCAS VICENTE</t>
  </si>
  <si>
    <t>23212218-8</t>
  </si>
  <si>
    <t>QUIROZ DIAZ TOMAS MAURICIO</t>
  </si>
  <si>
    <t>100483106-K</t>
  </si>
  <si>
    <t>RODRIGUEZ CASTRO EMILIO PEDRO</t>
  </si>
  <si>
    <t>ROJAS GOMEZ CARLOS ALFREDO</t>
  </si>
  <si>
    <t>23078183-4</t>
  </si>
  <si>
    <t>SANCHEZ ANGULO VICTOR JOSE</t>
  </si>
  <si>
    <t>23171893-1</t>
  </si>
  <si>
    <t>23018806-8</t>
  </si>
  <si>
    <t>VALDERRAMA LARA BENJAMIN JESUS</t>
  </si>
  <si>
    <t>23233347-2</t>
  </si>
  <si>
    <t>VALENZUELA ORELLANA FRANCISCO JAVIER</t>
  </si>
  <si>
    <t>23176298-1</t>
  </si>
  <si>
    <t>VERDUGO RUIZ BENJAMIN ARIEL</t>
  </si>
  <si>
    <t>23233697-8</t>
  </si>
  <si>
    <t>CABRERA SAN MARTIN JOSE VICENTE</t>
  </si>
  <si>
    <t>23179557-K</t>
  </si>
  <si>
    <t>AMIGO SEPULVEDA NICOLÁS JESÚS</t>
  </si>
  <si>
    <t>23165119-5</t>
  </si>
  <si>
    <t>ARAYA PEÑA FRANCO JAVIER</t>
  </si>
  <si>
    <t>23264921-6</t>
  </si>
  <si>
    <t>CARRASCO LUQUE LUCAS AGUSTÍN</t>
  </si>
  <si>
    <t>23015492-9</t>
  </si>
  <si>
    <t>COFRE GONZALEZ RENATO AGUSTÍN</t>
  </si>
  <si>
    <t>23136749-7</t>
  </si>
  <si>
    <t>FLORES ALBORNOZ PABLO ANDRÉS</t>
  </si>
  <si>
    <t>22757342-2</t>
  </si>
  <si>
    <t>GOMEZ MORA VALENTIN MAXIMILIANO</t>
  </si>
  <si>
    <t>22815898-4</t>
  </si>
  <si>
    <t>GONZALEZ ACEVEDO MICHAEL MAURICIO</t>
  </si>
  <si>
    <t>23066838-8</t>
  </si>
  <si>
    <t>GONZALEZ VALENZUELA JAVIER IGNACIO</t>
  </si>
  <si>
    <t>23086399-7</t>
  </si>
  <si>
    <t>HORMAZABAL SAN MARTIN JAVIER ALONSO</t>
  </si>
  <si>
    <t>23126749-2</t>
  </si>
  <si>
    <t>LARA NORAMBUENA KEVIN OCTAVIO</t>
  </si>
  <si>
    <t>23256634-5</t>
  </si>
  <si>
    <t>MONDACA SEGUEL MATIAS ALEJANDRO</t>
  </si>
  <si>
    <t>23264587-3</t>
  </si>
  <si>
    <t>OBANDO VERDUGO MÁXIMO PAULO</t>
  </si>
  <si>
    <t>23230416-2</t>
  </si>
  <si>
    <t>OVIEDO RODRIGUEZ FRANCISCO GABRIEL</t>
  </si>
  <si>
    <t>23095163-2</t>
  </si>
  <si>
    <t>PULGAR SAAVEDRA BENJAMIN IGNACIO</t>
  </si>
  <si>
    <t>23152335-9</t>
  </si>
  <si>
    <t>QUINTEROS TORRES MAHIKOL JESÚS NEHEMIAS</t>
  </si>
  <si>
    <t>23149788-9</t>
  </si>
  <si>
    <t>SAN MARTÍN VALENZUELA AGUSTÍN LEÓN IGNACIO</t>
  </si>
  <si>
    <t>23287895-9</t>
  </si>
  <si>
    <t>SANCHEZ MOLINA IVAN MANUEL ALONSO</t>
  </si>
  <si>
    <t>22835701-4</t>
  </si>
  <si>
    <t>TEJOS LOBOS GUILIAN ANDRES</t>
  </si>
  <si>
    <t>23022715-2</t>
  </si>
  <si>
    <t>TEJOS LOBOS KEVIN ANTONIO</t>
  </si>
  <si>
    <t>23022741-1</t>
  </si>
  <si>
    <t>VALENZUELA PADRENA MARÍO CESAR IGNACIO</t>
  </si>
  <si>
    <t>VELIZ CIFUENTES JOAQUÍN IGNACIO</t>
  </si>
  <si>
    <t>22996201-9</t>
  </si>
  <si>
    <t>VILLAGRA BRAVO MATÍAS FELIPE</t>
  </si>
  <si>
    <t xml:space="preserve">ACEVEDO SAAVEDRA YOEL SEBASTIAN </t>
  </si>
  <si>
    <t>23263014-0</t>
  </si>
  <si>
    <t>ALFARO VERGARA DIEGO IGNACIO</t>
  </si>
  <si>
    <t>23132082-2</t>
  </si>
  <si>
    <t>25-09.2009</t>
  </si>
  <si>
    <t>ARAVENA MUÑOZ ERICK PATRICIO</t>
  </si>
  <si>
    <t>23312998-4</t>
  </si>
  <si>
    <t xml:space="preserve">ARREDONDO VALDES MATIAS JESUS </t>
  </si>
  <si>
    <t>23261455-2</t>
  </si>
  <si>
    <t>23113841-2</t>
  </si>
  <si>
    <t>CABELLO PARRA VICENTE JESUS</t>
  </si>
  <si>
    <t>23148897-9</t>
  </si>
  <si>
    <t>CANCINO VELIZ JOAQUIN ANTONIO</t>
  </si>
  <si>
    <t>23092740-5</t>
  </si>
  <si>
    <t>CASTRO HERNANDEZ RAUL ALEJANDRO</t>
  </si>
  <si>
    <t>23357037-0</t>
  </si>
  <si>
    <t>DIAZ PINTO MARTIN IGNACIO</t>
  </si>
  <si>
    <t>23058360-9</t>
  </si>
  <si>
    <t>23094512-8</t>
  </si>
  <si>
    <t>DORADOR OLAVE FREDDY EMILIANO</t>
  </si>
  <si>
    <t>23175501-2</t>
  </si>
  <si>
    <t>GAETE IBARRA JOAQUIN ALONSO</t>
  </si>
  <si>
    <t>23094928-k</t>
  </si>
  <si>
    <t>GARRIDO RETAMAL SEBASTIAN JESUS</t>
  </si>
  <si>
    <t>23116212-7</t>
  </si>
  <si>
    <t>GONZALEZ CASTILLO NICOLAS BENJAMIN</t>
  </si>
  <si>
    <t>22759818-2</t>
  </si>
  <si>
    <t>GONZALEZ TORRES JAIME HUMBERTO</t>
  </si>
  <si>
    <t>23209788-4</t>
  </si>
  <si>
    <t>23150066-9</t>
  </si>
  <si>
    <t>MORENO DURAN GUSTAVO ALONSO</t>
  </si>
  <si>
    <t>22986218-9</t>
  </si>
  <si>
    <t>MOYA ORELLANA ARIEL IGNACIO</t>
  </si>
  <si>
    <t>23309994-5</t>
  </si>
  <si>
    <t>23227425-5</t>
  </si>
  <si>
    <t>MUÑOZ MEZA AGUSTIN EDUARDO</t>
  </si>
  <si>
    <t>23213928-5</t>
  </si>
  <si>
    <t>04-01.2010</t>
  </si>
  <si>
    <t xml:space="preserve">MUÑOZ SALGADO BENJAMIN ALFREDO </t>
  </si>
  <si>
    <t>23186651-5</t>
  </si>
  <si>
    <t xml:space="preserve">ORTEGA BITENCOURT BRYAN ALAN </t>
  </si>
  <si>
    <t>22979817-0</t>
  </si>
  <si>
    <t>PINCHEIRA OPAZO MAXIMILIANO IGNACIO</t>
  </si>
  <si>
    <t>23108368-5</t>
  </si>
  <si>
    <t xml:space="preserve">QUIROZ ANDRADES BENJAMIN ANDRES </t>
  </si>
  <si>
    <t>23277538-6</t>
  </si>
  <si>
    <t>ROA LOPEZ BENJAMIN SEBASTIAN</t>
  </si>
  <si>
    <t>23230371-9</t>
  </si>
  <si>
    <t>ROJAS ABDALA SAID KAMIL MAURICIO</t>
  </si>
  <si>
    <t>23302556-9</t>
  </si>
  <si>
    <t>ROJAS AEDO PATRICIO ALEJANDRO</t>
  </si>
  <si>
    <t>22789666-3</t>
  </si>
  <si>
    <t>RUIZ SALINAS VICENTE ALEJANDRO</t>
  </si>
  <si>
    <t>23229117-6</t>
  </si>
  <si>
    <t xml:space="preserve">SANCHEZ RODRIGUEZ SIMON ALEXIS </t>
  </si>
  <si>
    <t>23356641-1</t>
  </si>
  <si>
    <t>23242932-1</t>
  </si>
  <si>
    <t>TORRES CASTILLO DAMIAN EMILIO</t>
  </si>
  <si>
    <t>23318252-4</t>
  </si>
  <si>
    <t>VALDES CHANDIA JUAN PABLO ENRIQUE</t>
  </si>
  <si>
    <t>23098107-8</t>
  </si>
  <si>
    <t>ALBORNOZ DIAZ MATEO SIMÓN</t>
  </si>
  <si>
    <t>23117897-k</t>
  </si>
  <si>
    <t>ALBORNOZ GAJARDO PABLO ANTONIO</t>
  </si>
  <si>
    <t>23106146-0</t>
  </si>
  <si>
    <t>BARRIOS SAAVEDRA JOAQUÍN ALONSO</t>
  </si>
  <si>
    <t>23210361-2</t>
  </si>
  <si>
    <t>BARRUETO ABARZUA BENJAMIN ALEJANDRO</t>
  </si>
  <si>
    <t>23200397-9</t>
  </si>
  <si>
    <t>BARRUETO POBLETE MARTÍN LEÓN</t>
  </si>
  <si>
    <t>23360359-7</t>
  </si>
  <si>
    <t>BRAVO CESPEDES NICOLAS FRANCISCO</t>
  </si>
  <si>
    <t>23133619-2</t>
  </si>
  <si>
    <t>BRITO JAQUE LEANDRO SEBASTIÁN</t>
  </si>
  <si>
    <t>23249607-k</t>
  </si>
  <si>
    <t>CARRASCO MONSALVE FELIPE IGNACIO</t>
  </si>
  <si>
    <t>23119588-2</t>
  </si>
  <si>
    <t>CARREÑO GONZALEZ VICTOR MANUEL</t>
  </si>
  <si>
    <t>23215280-k</t>
  </si>
  <si>
    <t>23126828-6</t>
  </si>
  <si>
    <t>CAVIERES CANCINO CRISTOBAL ANTONIO</t>
  </si>
  <si>
    <t>23093212-3</t>
  </si>
  <si>
    <t>CONTARDO GAJARDO MARTÍN IGNACIO</t>
  </si>
  <si>
    <t>23178830-1</t>
  </si>
  <si>
    <t>23230882-6</t>
  </si>
  <si>
    <t>23119135-6</t>
  </si>
  <si>
    <t>FUENTES NUÑEZ FELIPE ANTONIO</t>
  </si>
  <si>
    <t>23197877-1</t>
  </si>
  <si>
    <t>FUENTES SÁNCHEZ CRISTOBAL ALONSO</t>
  </si>
  <si>
    <t>23135733-5</t>
  </si>
  <si>
    <t>GONZALEZ CONTRERAS VICENTE ALEJANDRO</t>
  </si>
  <si>
    <t>23189869-7</t>
  </si>
  <si>
    <t>GUAJARDO GUTIERREZ LEANDRO FELIPE</t>
  </si>
  <si>
    <t>23211123-2</t>
  </si>
  <si>
    <t>GUTIERREZ RODRIGUEZ FRANCISCO IGNACIO</t>
  </si>
  <si>
    <t>23095199-3</t>
  </si>
  <si>
    <t>HERNANDEZ AGUILERA MATIAS IGNACIO</t>
  </si>
  <si>
    <t>23269242-1</t>
  </si>
  <si>
    <t>HERRERA MUÑOZ ERICK GABRIEL</t>
  </si>
  <si>
    <t>23067164-8</t>
  </si>
  <si>
    <t>LOPEZ DIAZ FERNANDO ANTONIO</t>
  </si>
  <si>
    <t>23136648-2</t>
  </si>
  <si>
    <t>23097416-0</t>
  </si>
  <si>
    <t>MARTINEZ JARA KEVIN ALEJANDRO</t>
  </si>
  <si>
    <t>23141290-5</t>
  </si>
  <si>
    <t>MERCADO MENDEZ FREDERIC ALEJANDRO</t>
  </si>
  <si>
    <t>22415426-7</t>
  </si>
  <si>
    <t>MOLINA BURGOS YORDAN ELVIS</t>
  </si>
  <si>
    <t>23136008-5</t>
  </si>
  <si>
    <t>NAVARRO AMARO THOMAS SEBASTIÁN</t>
  </si>
  <si>
    <t>23361994-9</t>
  </si>
  <si>
    <t>ORDENES MUÑOZ VICENTE IGNACIO</t>
  </si>
  <si>
    <t>23297573-3</t>
  </si>
  <si>
    <t>OYARCE OYARZÚN CRISTOBAL ANDRÉS</t>
  </si>
  <si>
    <t>23260891-9</t>
  </si>
  <si>
    <t>POBLETE TORRES SEBASTIAN ESTEBAN</t>
  </si>
  <si>
    <t>23178369-5</t>
  </si>
  <si>
    <t>RODRIGUEZ GUAJARDO JAVIER ALEJANDRO</t>
  </si>
  <si>
    <t>23298271-3</t>
  </si>
  <si>
    <t>ROJAS HERRERA JOAQUIN IGNACIO</t>
  </si>
  <si>
    <t>22697756-2</t>
  </si>
  <si>
    <t>SANHUEZA ROJAS ROBET ANGEL</t>
  </si>
  <si>
    <t>23121023-7</t>
  </si>
  <si>
    <t>23206060-3</t>
  </si>
  <si>
    <t>TORRES VERGARA VALENTÍN ORLANDO</t>
  </si>
  <si>
    <t>23153216-1</t>
  </si>
  <si>
    <t>TRONCOSO ROJAS BENJAMIN NICOLAS</t>
  </si>
  <si>
    <t>23286851-1</t>
  </si>
  <si>
    <t>VALENZUELA ARROYO GASPAR ISAIAS</t>
  </si>
  <si>
    <t>23252383-2</t>
  </si>
  <si>
    <t>VERA BASTIDAS EDUARDO ESTEBAN</t>
  </si>
  <si>
    <t>23049362-6</t>
  </si>
  <si>
    <t>VILLEGAS MONDACA JESÚS EMILIO</t>
  </si>
  <si>
    <t>22994935-7</t>
  </si>
  <si>
    <t>YAÑEZ JARA THOMAS ESTEBAN</t>
  </si>
  <si>
    <t>23134922-7</t>
  </si>
  <si>
    <t xml:space="preserve">YEVENES PARADA CRISTOPHER ALEXSANDER </t>
  </si>
  <si>
    <t>23196337-5</t>
  </si>
  <si>
    <t>ZUCCHI VALLADARES SIMÓN JESÚS</t>
  </si>
  <si>
    <t>PARADA AVILA AUGUSTO JOAQUIN</t>
  </si>
  <si>
    <t>MATURANA VASQUEZ AGUSTIN ALEJANDRO</t>
  </si>
  <si>
    <t>23214461-0</t>
  </si>
  <si>
    <t>ACEVEDO AVILA ISMAEL NICOLAS</t>
  </si>
  <si>
    <t>23047606-3</t>
  </si>
  <si>
    <t>GONZALEZ SAAVEDRA JOAQUIN ANDRES</t>
  </si>
  <si>
    <t>23036159-2</t>
  </si>
  <si>
    <t>GUTIERREZ CESPEDES MAXIMILIANO ANDRES</t>
  </si>
  <si>
    <t>23224502-6</t>
  </si>
  <si>
    <t>MURGA GARCIA ROBERTO PATRICIO</t>
  </si>
  <si>
    <t>23116330-1</t>
  </si>
  <si>
    <t>23313697-2</t>
  </si>
  <si>
    <t>ESPINOSA MIÑO MAGDIEL DE CIRENE</t>
  </si>
  <si>
    <t>TORRES QUIROZ DARWIN ANTONIO</t>
  </si>
  <si>
    <t>23156565-5</t>
  </si>
  <si>
    <t>LABRA YAÑEZ DIEGO AGUSTIN</t>
  </si>
  <si>
    <t>23137392-6</t>
  </si>
  <si>
    <t>CACERES MORALES AGUSTIN SEBASTIAN DE JESUS</t>
  </si>
  <si>
    <t>23233439-8</t>
  </si>
  <si>
    <t xml:space="preserve">MEJIAS RAMIREZ DANIEL ISAIAS </t>
  </si>
  <si>
    <t>23231121-5</t>
  </si>
  <si>
    <t>PROFESOR JEFE: PATRICIO CACERES NAVARRO</t>
  </si>
  <si>
    <t>MUÑOZ LOPEZ JOAQUIN IGNACIO ANTONIO</t>
  </si>
  <si>
    <t>MELGAREJO QUIJON ROBERTO JOSE</t>
  </si>
  <si>
    <t>ARAYA VELIS VICENTE ANIBAL</t>
  </si>
  <si>
    <t>23285045-0</t>
  </si>
  <si>
    <t>26.03.2010</t>
  </si>
  <si>
    <t>ARAYA NUÑEZ LUCIANO RODRIGO</t>
  </si>
  <si>
    <t>23083689-2</t>
  </si>
  <si>
    <t>23102575-8</t>
  </si>
  <si>
    <t>22994900-4</t>
  </si>
  <si>
    <t>TEJOS ESPINA SERGIO ABEL</t>
  </si>
  <si>
    <t>SAZO MUÑOZ LUIS GONZALO</t>
  </si>
  <si>
    <t>23082048-1</t>
  </si>
  <si>
    <t>21.07.2009</t>
  </si>
  <si>
    <t>MIÑO SOTO MATIAS ALEJANDRO</t>
  </si>
  <si>
    <t>23060155-0</t>
  </si>
  <si>
    <t>GONZALEZ CARREÑO FRANCO ALONSO</t>
  </si>
  <si>
    <t>23160762-5</t>
  </si>
  <si>
    <t>02.11.2009</t>
  </si>
  <si>
    <t>23287150-4</t>
  </si>
  <si>
    <t>DOTE MUÑOZ MATIAS ARMANDO</t>
  </si>
  <si>
    <t>23189310-5</t>
  </si>
  <si>
    <t>GIRALDO RIVAS OSCAR IVAN</t>
  </si>
  <si>
    <t>27522331-K</t>
  </si>
  <si>
    <t>10.02.2010</t>
  </si>
  <si>
    <t>BOBADILLA ORTIZ LEONARDO ALEXIS</t>
  </si>
  <si>
    <t>ALVAREZ HERNANDEZ FERNANDO ANDRES</t>
  </si>
  <si>
    <t>23215714-3</t>
  </si>
  <si>
    <t>03.01.2010</t>
  </si>
  <si>
    <t>RAMIREZ INZULZA BAYRON NICOLAS</t>
  </si>
  <si>
    <t>23164838-0</t>
  </si>
  <si>
    <t>10.11.2009</t>
  </si>
  <si>
    <t>ORELLANA NORAMBUENA PABLO AARON</t>
  </si>
  <si>
    <t>23242638-1</t>
  </si>
  <si>
    <t>04.02.2010</t>
  </si>
  <si>
    <t>DIAZ VALENZUELA AGUSTIN VICENTE</t>
  </si>
  <si>
    <t>23062519-0</t>
  </si>
  <si>
    <t>03.07.2009</t>
  </si>
  <si>
    <t>RETAMAL MENA DIEGO IGNACIO</t>
  </si>
  <si>
    <t>ICETA MUÑOZ LUIS BASTIAN</t>
  </si>
  <si>
    <t>23219645-9</t>
  </si>
  <si>
    <t>09.01.2010</t>
  </si>
  <si>
    <t>20.05.2009</t>
  </si>
  <si>
    <t>23119538-6</t>
  </si>
  <si>
    <t>AVACA CANDIA MATIAS IGNACIO</t>
  </si>
  <si>
    <t>AMARO HERRERA MICHAELL ANDRES</t>
  </si>
  <si>
    <t>23021756-4</t>
  </si>
  <si>
    <t>ABARCA ROJAS JAVIER IGNACIO</t>
  </si>
  <si>
    <t>22903073-6</t>
  </si>
  <si>
    <t>ABARZA DIAZ AGUSTIN IGNACIO</t>
  </si>
  <si>
    <t>22968310-1</t>
  </si>
  <si>
    <t>AGUILERA BRAVO MATHEO IGNACIO</t>
  </si>
  <si>
    <t>22992343-9</t>
  </si>
  <si>
    <t>ARAVENA VERDUGO MATIAS MAXIMILIANO</t>
  </si>
  <si>
    <t>22926072-3</t>
  </si>
  <si>
    <t>AVACA MEDEL NICOLAS ANTONIO</t>
  </si>
  <si>
    <t>23011384-K</t>
  </si>
  <si>
    <t>CALDERON CACERES CARLOS ANDRES</t>
  </si>
  <si>
    <t>23032383-6</t>
  </si>
  <si>
    <t>22941533-6</t>
  </si>
  <si>
    <t>CAÑETE GARRIDO VICENTE IGNACIO</t>
  </si>
  <si>
    <t>22835233-0</t>
  </si>
  <si>
    <t>CASTRO CORTES BASTIAN NICOLAS</t>
  </si>
  <si>
    <t>22952227-2</t>
  </si>
  <si>
    <t>CASTRO MONSALVE JAVIER IGNACIO</t>
  </si>
  <si>
    <t>23055556-7</t>
  </si>
  <si>
    <t>22852856-0</t>
  </si>
  <si>
    <t>CONTRERAS SALAS FRANCO MARTIN</t>
  </si>
  <si>
    <t>DOMINGUEZ ARAVENA JAVIER EDUARDO</t>
  </si>
  <si>
    <t>22771608-8</t>
  </si>
  <si>
    <t>DURAN ARAVENA MARTIN IGNACIO</t>
  </si>
  <si>
    <t>22838879-3</t>
  </si>
  <si>
    <t>FARIAS EYZAGUIRRE YTAN LUCIAN</t>
  </si>
  <si>
    <t>22918619-1</t>
  </si>
  <si>
    <t>FIGUEROA DIAZ GERMAN NICOLAS</t>
  </si>
  <si>
    <t>22740906-1</t>
  </si>
  <si>
    <t>FUENTES ROMERO ANGEL PATRICIO</t>
  </si>
  <si>
    <t>22920995-7</t>
  </si>
  <si>
    <t>GAJARDO LLANOS DANTE DANIEL</t>
  </si>
  <si>
    <t>23049783-4</t>
  </si>
  <si>
    <t>22779339-2</t>
  </si>
  <si>
    <t>GONZALEZ PAREDES BRAYANN ALEJANDRO</t>
  </si>
  <si>
    <t xml:space="preserve">GONZALEZ ROJAS RODRIGO ANDRES </t>
  </si>
  <si>
    <t>22933575-8</t>
  </si>
  <si>
    <t>GUZMAN REYES FRANCO CRISTOBAL</t>
  </si>
  <si>
    <t>22826671-K</t>
  </si>
  <si>
    <t>22925844-3</t>
  </si>
  <si>
    <t>INOSTROZA ROJAS OSCAR ALEJANDRO</t>
  </si>
  <si>
    <t>22908682-0</t>
  </si>
  <si>
    <t>LARA SEPULVEDA LUCAS FABIAN UZIEL</t>
  </si>
  <si>
    <t>22941900-5</t>
  </si>
  <si>
    <t>22968101-K</t>
  </si>
  <si>
    <t>LIZANA MUÑOZ SEBASTIAN ANDRES</t>
  </si>
  <si>
    <t>22975947-7</t>
  </si>
  <si>
    <t>MATAMALA RIQUELME ROBERTO ESTEBAN</t>
  </si>
  <si>
    <t>22830023-3</t>
  </si>
  <si>
    <t>MILLAQUEO ARAVENA DANIEL EDUARDO</t>
  </si>
  <si>
    <t>22839921-3</t>
  </si>
  <si>
    <t>MORA ESCOBAR MAXIMILIANO ENRIQUE</t>
  </si>
  <si>
    <t>22689487-K</t>
  </si>
  <si>
    <t>MORALES CANDIA ALEJANDRO IGNACIO</t>
  </si>
  <si>
    <t>22822517-7</t>
  </si>
  <si>
    <t>OLAVE SEPULVEDA ANGEL OMAR</t>
  </si>
  <si>
    <t>23030804-7</t>
  </si>
  <si>
    <t>OSSES GONZALEZ BENJAMIN ALEJANDRO</t>
  </si>
  <si>
    <t>22429401-8</t>
  </si>
  <si>
    <t>OSSES NUÑEZ MARTHIN IGNACIO</t>
  </si>
  <si>
    <t>22808756-4</t>
  </si>
  <si>
    <t>PACHECO ALVARADO MOISES ANTONIO</t>
  </si>
  <si>
    <t>22910916-2</t>
  </si>
  <si>
    <t>PEREZ RODRIGUEZ SERGIO MAURICIO</t>
  </si>
  <si>
    <t>22863047-0</t>
  </si>
  <si>
    <t>ROJAS VALENZUELA THOMAS ANIBAL</t>
  </si>
  <si>
    <t>22940787-2</t>
  </si>
  <si>
    <t>TORRES MONTECINO LUIS HUMBERTO</t>
  </si>
  <si>
    <t>22706596-6</t>
  </si>
  <si>
    <t>VALDES CASTRO CRISTOPHER ANTONIO</t>
  </si>
  <si>
    <t>22874621-5</t>
  </si>
  <si>
    <t>VALDES VALENZUELA FELIX FRANCISCO SEGUNDO</t>
  </si>
  <si>
    <t>22904799-K</t>
  </si>
  <si>
    <t>VASQUEZ ESCOBAR FABIAN ARMANDO</t>
  </si>
  <si>
    <t>22990089-7</t>
  </si>
  <si>
    <t>VASQUEZ LARA MARTIN LEANDRO</t>
  </si>
  <si>
    <t>22950872-5</t>
  </si>
  <si>
    <t>VILCHES VILCHES CRISTOBAL SEBASTIAN</t>
  </si>
  <si>
    <t>22850904-3</t>
  </si>
  <si>
    <t>22973140-8</t>
  </si>
  <si>
    <t>REBOLLEDO FUENTEALBA JOHN CRISTOPHER</t>
  </si>
  <si>
    <t>22725846-2</t>
  </si>
  <si>
    <t>ALVAREZ MEJIAS BENJAMIN DYLAN</t>
  </si>
  <si>
    <t>22713854-8</t>
  </si>
  <si>
    <t>22875123-5</t>
  </si>
  <si>
    <t>CASTILLO OROSTICA PEDRO IGNACIO</t>
  </si>
  <si>
    <t>22307962-8</t>
  </si>
  <si>
    <t>ESPINOZA DONOSO YAN NICOLAS</t>
  </si>
  <si>
    <t>22730628-9</t>
  </si>
  <si>
    <t>ESTAY QUILIÑAN BASTIAN BENJAMIN ANTONIO</t>
  </si>
  <si>
    <t>GONZALEZ CAMPOS BENJAMIN ALONSO</t>
  </si>
  <si>
    <t>22530875-6</t>
  </si>
  <si>
    <t>GUAJARDO ALFARO ALEXIS ELIAS</t>
  </si>
  <si>
    <t>22850967-1</t>
  </si>
  <si>
    <t>GUTIERREZ BARRIENTOS NICOLAS IGNACIO</t>
  </si>
  <si>
    <t>22885022-5</t>
  </si>
  <si>
    <t>HERNANDEZ RETAMAL BENJAMIN ALEJANDRO</t>
  </si>
  <si>
    <t>22488343-9</t>
  </si>
  <si>
    <t>HORMAZABAL POBLETE FRANCISCO ALEJANDRO</t>
  </si>
  <si>
    <t>22810151-6</t>
  </si>
  <si>
    <t>IBAÑEZ FARIAS BENJAMIN CRISTOBAL</t>
  </si>
  <si>
    <t>22964184-0</t>
  </si>
  <si>
    <t>LAGOS CIFUENTES JAVIER NICOLAS</t>
  </si>
  <si>
    <t>22512163-K</t>
  </si>
  <si>
    <t>22929619-1</t>
  </si>
  <si>
    <t>NAVARRO ROMERO TOMAS MARCELO</t>
  </si>
  <si>
    <t>22987308-3</t>
  </si>
  <si>
    <t>PEREZ ARAYA CESAR FERNANDO</t>
  </si>
  <si>
    <t>23009563-9</t>
  </si>
  <si>
    <t>QUEZADA ARAYA CRHISTIAN JAVIER DE JESUS</t>
  </si>
  <si>
    <t>22766191-7</t>
  </si>
  <si>
    <t>22703415-7</t>
  </si>
  <si>
    <t>RIOS ARAYA BENJAMIN YASSEF OREL</t>
  </si>
  <si>
    <t>22847750-8</t>
  </si>
  <si>
    <t>22963083-0</t>
  </si>
  <si>
    <t>SALAZAR MORALES VICENTE JAVIER</t>
  </si>
  <si>
    <t>22670572-4</t>
  </si>
  <si>
    <t>SILVA LEIVA JOAQUIN MATEO</t>
  </si>
  <si>
    <t>22844975-K</t>
  </si>
  <si>
    <t>VALENZUELA TOLOZA MARTIN ALEXIS</t>
  </si>
  <si>
    <t>23003285-8</t>
  </si>
  <si>
    <t>VIRGUEZ LARA JAVIER ALEXANDER</t>
  </si>
  <si>
    <t>100588006-4</t>
  </si>
  <si>
    <t>22891163-1</t>
  </si>
  <si>
    <t>ASTABURUAGA ROJAS HERNAN ANDRES</t>
  </si>
  <si>
    <t>22744295-6</t>
  </si>
  <si>
    <t>BAEZA ALCAPIO JOAQUIN ALONSO</t>
  </si>
  <si>
    <t>22890248-9</t>
  </si>
  <si>
    <t>BRAVO ARELLANO MOISES ALBERTO</t>
  </si>
  <si>
    <t>22776248-9</t>
  </si>
  <si>
    <t>CABRERA ORELLANA FERNANDO JAVIER</t>
  </si>
  <si>
    <t>22752663-7</t>
  </si>
  <si>
    <t>CANCINO ROJAS RENATO AGUSTIN</t>
  </si>
  <si>
    <t>22885218-K</t>
  </si>
  <si>
    <t>CANTO ARAYA RONALD BASTIAN</t>
  </si>
  <si>
    <t>22930658-8</t>
  </si>
  <si>
    <t>CASTRO MARQUEZ GIAN FRANCO</t>
  </si>
  <si>
    <t>26706461-K</t>
  </si>
  <si>
    <t>CONCHA BARRIOS SEBASTIAN ANDRES</t>
  </si>
  <si>
    <t>22703365-7</t>
  </si>
  <si>
    <t>22743393-0</t>
  </si>
  <si>
    <t>DIAZ DOMINGUEZ MATIAS FELIPE</t>
  </si>
  <si>
    <t>22901943-0</t>
  </si>
  <si>
    <t>ESPINOSA CANCINO JOAQUIN ALEJANDRO</t>
  </si>
  <si>
    <t>22991485-5</t>
  </si>
  <si>
    <t>FLORES AYALA PAULO BEIMAR</t>
  </si>
  <si>
    <t>26534882-3</t>
  </si>
  <si>
    <t>FLORES HERRERA DAVID IGNACIO</t>
  </si>
  <si>
    <t>22793752-1</t>
  </si>
  <si>
    <t>FUENTES RIQUELME MATIAS RODRIGO</t>
  </si>
  <si>
    <t>22718904-5</t>
  </si>
  <si>
    <t>GAJARDO ARAVENA JORGE ANDRES</t>
  </si>
  <si>
    <t>22923491-9</t>
  </si>
  <si>
    <t>GAJARDO ORELLANA MATIAS EDUARDO</t>
  </si>
  <si>
    <t>23023735-2</t>
  </si>
  <si>
    <t>GONZALEZ YAÑEZ DAVID ANTONIO</t>
  </si>
  <si>
    <t>23023635-6</t>
  </si>
  <si>
    <t>HERRERA MARQUEZ MATIN ALEXSANDER</t>
  </si>
  <si>
    <t>22998382-2</t>
  </si>
  <si>
    <t>MANCILLA CARO DOSON ALEXANDERS</t>
  </si>
  <si>
    <t>22585504-8</t>
  </si>
  <si>
    <t>22827574-3</t>
  </si>
  <si>
    <t>MARTINEZ ROJAS CARLOS VICENTE</t>
  </si>
  <si>
    <t>22920290-1</t>
  </si>
  <si>
    <t>MARTINEZ TRONCOSO BENJAMIN EDUARDO</t>
  </si>
  <si>
    <t>22287102-6</t>
  </si>
  <si>
    <t>MIRANDA TORRES SIMON MATEO</t>
  </si>
  <si>
    <t>22925397-2</t>
  </si>
  <si>
    <t>MORALES CAMPOS ALONSO ESTEBAN</t>
  </si>
  <si>
    <t>22865862-6</t>
  </si>
  <si>
    <t>MOYANO FLORES RICARDO ALFONSO</t>
  </si>
  <si>
    <t>22689862-K</t>
  </si>
  <si>
    <t>MUÑOZ DIAZ CRISTOFER ANDRES</t>
  </si>
  <si>
    <t>22787187-3</t>
  </si>
  <si>
    <t>NAVAS RIQUELME AGUSTIN EDUARDO</t>
  </si>
  <si>
    <t>22827311-2</t>
  </si>
  <si>
    <t>OLGUIN SANHUEZA MAXIMO ERIQUE</t>
  </si>
  <si>
    <t>22990298-9</t>
  </si>
  <si>
    <t>PALMA ILABACA LORENZO ENRIQUE</t>
  </si>
  <si>
    <t>22810845-6</t>
  </si>
  <si>
    <t>PONCE TORRES MAXIMILIANO ALEXIS</t>
  </si>
  <si>
    <t>22534240-7</t>
  </si>
  <si>
    <t>QUINTERO MACIAS LUIS JOSE</t>
  </si>
  <si>
    <t>26729447-K</t>
  </si>
  <si>
    <t>ROCO VALENZUELA BRYAN FELIPE</t>
  </si>
  <si>
    <t>22903209-7</t>
  </si>
  <si>
    <t>ROJAS RAMIREZ THOMAS ALEJANDRO</t>
  </si>
  <si>
    <t>22795270-9</t>
  </si>
  <si>
    <t>22980132-5</t>
  </si>
  <si>
    <t>SOTO RETAMAL MARTIN VICENTE IGNACIO</t>
  </si>
  <si>
    <t>22982261-6</t>
  </si>
  <si>
    <t>TORRES ZUÑIGA CRISTOBAL ALONSO</t>
  </si>
  <si>
    <t>22956749-7</t>
  </si>
  <si>
    <t>VALDERRAMA CASTILLO NICOLAS MARTIN</t>
  </si>
  <si>
    <t>22931876-4</t>
  </si>
  <si>
    <t>23216795-5</t>
  </si>
  <si>
    <t>CORTES GONZALEZ MARTIN ALEXANDER</t>
  </si>
  <si>
    <t>23199566-8</t>
  </si>
  <si>
    <t xml:space="preserve">DIAZ DIAZ FRANCO AGUSTIN EMILIO </t>
  </si>
  <si>
    <t>23302280-2</t>
  </si>
  <si>
    <t>MARABOLI BAEZA PATRICK ALONSO</t>
  </si>
  <si>
    <t>23253333-1</t>
  </si>
  <si>
    <t>MOLINA GAJARDO ALEXIS MAXIMILIANO</t>
  </si>
  <si>
    <t>23105382-4</t>
  </si>
  <si>
    <t>CONTARDO GONZALEZ BASTIAN IGNACIO</t>
  </si>
  <si>
    <t>23020271-0</t>
  </si>
  <si>
    <t>REBOLLEDO RIVERA CRISTIAN RAUL</t>
  </si>
  <si>
    <t>23224975-7</t>
  </si>
  <si>
    <t>VIDAL LOPEZ JESUS ANDRES</t>
  </si>
  <si>
    <t>23140587-9</t>
  </si>
  <si>
    <t>BARRIOS GONZALEZ NELSON MARTIN</t>
  </si>
  <si>
    <t>AVILA RETAMAL AGUSTIN ALEJANDRO</t>
  </si>
  <si>
    <t>22663235-2</t>
  </si>
  <si>
    <t>GAJARDO NUÑEZ MARTIN ANDRES</t>
  </si>
  <si>
    <t>LOPEZ GUTIERREZ AMARO LEON</t>
  </si>
  <si>
    <t>22578340-3</t>
  </si>
  <si>
    <t>RIVAS IBARRA DAMIAN ALONSO</t>
  </si>
  <si>
    <t>22804484-9</t>
  </si>
  <si>
    <t>CERDA BRIONES CRISTOBAL EDUARDO</t>
  </si>
  <si>
    <t>23212181-5</t>
  </si>
  <si>
    <t>RAMIREZ ARANCIBIA BENJAMIN IGNACIO</t>
  </si>
  <si>
    <t>23126780-8</t>
  </si>
  <si>
    <t xml:space="preserve">VALENZUELA ROJAS TOMAS IGNACIO </t>
  </si>
  <si>
    <t>23028495-4</t>
  </si>
  <si>
    <t xml:space="preserve">VILCHES MEZA BENJAMIN EDUARDO </t>
  </si>
  <si>
    <t>23127713-7</t>
  </si>
  <si>
    <t>ARAVENA GONZALEZ BASTIAN ENRIQUE</t>
  </si>
  <si>
    <t>ARAYA GONZALEZ MATHIAS IGNACIO</t>
  </si>
  <si>
    <t>ARCE MERIÑO JESUS VALENTIN</t>
  </si>
  <si>
    <t>AYALA HERRERA JOSEEDUARDO MIGUEL</t>
  </si>
  <si>
    <t>BERMUDEZ BALZA LUIS SANTIAGO</t>
  </si>
  <si>
    <t>CACERES MUÑOZ BENJAMIN MARTIN</t>
  </si>
  <si>
    <t>CALDERON ACUÑA JOSE TOMAS</t>
  </si>
  <si>
    <t>CAMPOS HERNANDEZ DAVID JESUS</t>
  </si>
  <si>
    <t>CASTILLO ALARCON DAMIAN ALEXIS</t>
  </si>
  <si>
    <t>CORDERO GUERRERO SEBASTIAN ANDRES</t>
  </si>
  <si>
    <t>CURIÑANCO PINILLA ALVARO ROMAN</t>
  </si>
  <si>
    <t>ESPINOZA AVENDAÑO CRISTIAN SEBASTIAN</t>
  </si>
  <si>
    <t>FAUNDEZ MUÑOZ MAXIMILIANO GABRIEL</t>
  </si>
  <si>
    <t>GAJARDO DOTE CLAUDIO ANDRES</t>
  </si>
  <si>
    <t>GARRIDO MATURANA FRANCO ANTONIO</t>
  </si>
  <si>
    <t>GONZALEZ ACEITUNO GASPAR AGUSTIN</t>
  </si>
  <si>
    <t>GONZALEZ JARA DIEGO ANTONIO</t>
  </si>
  <si>
    <t>GONZALEZ ROJAS LUIS AMHARO NATANAELL</t>
  </si>
  <si>
    <t>GUTIERREZ PAEZ DIEGO ESTEBAN</t>
  </si>
  <si>
    <t>HERNANDEZ SOLAR LEANDRO IGNACIO ANDRES</t>
  </si>
  <si>
    <t>LAGOS VELIZ MATHIAS JOHAN</t>
  </si>
  <si>
    <t>LEON QUEREIGUA SAMUEL FRANCISCO</t>
  </si>
  <si>
    <t>LOPEZ MUÑOZ JOAQUIN ALONSO</t>
  </si>
  <si>
    <t>MALDONADO ARAVENA GUILLERMO IGNACIO</t>
  </si>
  <si>
    <t>MONDACA CARVAJAL LEON ALEJANDRO</t>
  </si>
  <si>
    <t>MUÑOZ GARRIDO FELIPE MANUEL</t>
  </si>
  <si>
    <t>MUÑOZ MORA DIEGO ALFONSO</t>
  </si>
  <si>
    <t>RIQUELME CARREÑO MAGDIEL BENJAMIN</t>
  </si>
  <si>
    <t>ROJAS VALENZUELA RODOLFO ESTEBAN</t>
  </si>
  <si>
    <t>SALAS HERNANDEZ MATIAS IVAN</t>
  </si>
  <si>
    <t>SALAZAR MUÑOZ CRISTOBAL ALEJANDRO</t>
  </si>
  <si>
    <t xml:space="preserve">SANTOS RIOFRIO ALEXANDER IGNACIO </t>
  </si>
  <si>
    <t>URRUTIA CACERES CRISTOBAL ANDRES</t>
  </si>
  <si>
    <t>VALDES GARRIDO ANIVAL RODOLFO</t>
  </si>
  <si>
    <t>VALENZUELA TAPIA BASTIAN MANUEL</t>
  </si>
  <si>
    <t>22827332-5</t>
  </si>
  <si>
    <t>22986054-2</t>
  </si>
  <si>
    <t>22903856-7</t>
  </si>
  <si>
    <t>22798533-K</t>
  </si>
  <si>
    <t>22873141-2</t>
  </si>
  <si>
    <t>26146412-8</t>
  </si>
  <si>
    <t>22831002-6</t>
  </si>
  <si>
    <t>22991044-2</t>
  </si>
  <si>
    <t>22785683-1</t>
  </si>
  <si>
    <t>22838833-5</t>
  </si>
  <si>
    <t>22907231-5</t>
  </si>
  <si>
    <t>22822734-K</t>
  </si>
  <si>
    <t>23029772-K</t>
  </si>
  <si>
    <t>22775798-1</t>
  </si>
  <si>
    <t>23015654-9</t>
  </si>
  <si>
    <t>22766242-5</t>
  </si>
  <si>
    <t>22894965-5</t>
  </si>
  <si>
    <t>22738540-5</t>
  </si>
  <si>
    <t>22809009-3</t>
  </si>
  <si>
    <t>22537022-2</t>
  </si>
  <si>
    <t>22903762-5</t>
  </si>
  <si>
    <t>22933875-7</t>
  </si>
  <si>
    <t>23008229-4</t>
  </si>
  <si>
    <t>22957149-4</t>
  </si>
  <si>
    <t>22727389-5</t>
  </si>
  <si>
    <t>22845024-3</t>
  </si>
  <si>
    <t>27051187-2</t>
  </si>
  <si>
    <t>22763311-5</t>
  </si>
  <si>
    <t>22940444-K</t>
  </si>
  <si>
    <t>22844097-3</t>
  </si>
  <si>
    <t>22908145-4</t>
  </si>
  <si>
    <t>22769686-9</t>
  </si>
  <si>
    <t>22850005-4</t>
  </si>
  <si>
    <t>22940752-K</t>
  </si>
  <si>
    <t>23012193-1</t>
  </si>
  <si>
    <t>22673331-0</t>
  </si>
  <si>
    <t>22972956-K</t>
  </si>
  <si>
    <t>22879348-5</t>
  </si>
  <si>
    <t>22923073-5</t>
  </si>
  <si>
    <t>22816174-8</t>
  </si>
  <si>
    <t>22472709-7</t>
  </si>
  <si>
    <t>ABARCA TOLEDO BENJAMIN IGNACIO</t>
  </si>
  <si>
    <t>ALEGRIA CONTRERAS MARTIN ALONSO</t>
  </si>
  <si>
    <t>BERRIOS ASTUDILLO EDUARDO ABRAHAM</t>
  </si>
  <si>
    <t>BRAVO QUEZADA JORDAN ARMANDO</t>
  </si>
  <si>
    <t>BUSTAMANTE REYES LUCIANO ANDRES</t>
  </si>
  <si>
    <t>CANALES ZUÑIGA MARTIN LUIS BENJAMIN</t>
  </si>
  <si>
    <t>CANCINO BRAVO CRISTOBAL MAXIMILIANO</t>
  </si>
  <si>
    <t>CARRERA LUZARDO CARLOS DANIEL</t>
  </si>
  <si>
    <t>CONTRERAS GONZALEZ JOSE FRANCISCO</t>
  </si>
  <si>
    <t>DE LA JARA FAUNDEZ VALENTIN IGNACIO ANTONIO</t>
  </si>
  <si>
    <t>DENIZ RAMIREZ CARLOS DANIEL</t>
  </si>
  <si>
    <t>GARCIA QUIÑONES MARTIN TOMAS</t>
  </si>
  <si>
    <t>GARRIDO GONZALEZ CAMILO ALONSO</t>
  </si>
  <si>
    <t>GARRIDO MEDEL LEONARDO ESTEBAN</t>
  </si>
  <si>
    <t>GONZALEZ ABARCA IGNACIO ANDRES</t>
  </si>
  <si>
    <t>GUAJARDO VILLAR IAN MAXIMILIANO</t>
  </si>
  <si>
    <t>HERNANDEZ LINCOÑIR DEIVID ANTONIO</t>
  </si>
  <si>
    <t>HERRERA RETAMAL MARTIN EDUARDO</t>
  </si>
  <si>
    <t>HERRERA ROJAS HAROLD ALEXIS</t>
  </si>
  <si>
    <t>ITURRA RETAMAL CHRISTIAN ALEXANDER</t>
  </si>
  <si>
    <t>MOLINA SEPULVEDA MARTIN IGNACIO</t>
  </si>
  <si>
    <t>MORA ASTUDILLO SEBASTIAN IGNACIO</t>
  </si>
  <si>
    <t>MORALES HERNANDEZ RICHARD ALEXI</t>
  </si>
  <si>
    <t>MORALES MUÑOZ CRISTOFER JESUS</t>
  </si>
  <si>
    <t>MUÑOZ FLORES RUBEN ALONSO</t>
  </si>
  <si>
    <t>PAREDES AGUILERA THOMAS ANDRES</t>
  </si>
  <si>
    <t>RAMIREZ GONZALEZ CRISTOPHER DAVID</t>
  </si>
  <si>
    <t>RAMIREZ MORALEZ TOMAS AGUSTIN</t>
  </si>
  <si>
    <t>ROCO BARRIENTOS FELIPE BENJAMIN</t>
  </si>
  <si>
    <t>RODRIGUEZ CASTRO ALEJANDRO DOMINGO</t>
  </si>
  <si>
    <t>ROJAS OLIVA DIEGO EDUARDO</t>
  </si>
  <si>
    <t>ROJAS SEPULVEDA CLAUDIO ALEXIS</t>
  </si>
  <si>
    <t>SANTANA CACERES MARTIN VICENTE</t>
  </si>
  <si>
    <t>VALENZUELA ARRIAGADA PATRICIO AGUSTIN</t>
  </si>
  <si>
    <t>VALENZUELA VASQUEZ WOLFGANG MAXIMO</t>
  </si>
  <si>
    <t>VALENZUELA ZAPATA CRISTHOBAL ALEJANDRO</t>
  </si>
  <si>
    <t>VERGARA LOPEZ ALAN ANDRES</t>
  </si>
  <si>
    <t>VERGARA TORO JOAQUIN EDUARDO ANDRES</t>
  </si>
  <si>
    <t>22912832-9</t>
  </si>
  <si>
    <t>22909170-0</t>
  </si>
  <si>
    <t>22876590-2</t>
  </si>
  <si>
    <t>22827228-0</t>
  </si>
  <si>
    <t>22982978-5</t>
  </si>
  <si>
    <t>22896678-9</t>
  </si>
  <si>
    <t>23059531-3</t>
  </si>
  <si>
    <t>22497232-6</t>
  </si>
  <si>
    <t>28339361-5</t>
  </si>
  <si>
    <t>22948151-7</t>
  </si>
  <si>
    <t>22903352-2</t>
  </si>
  <si>
    <t>22909015-1</t>
  </si>
  <si>
    <t>26299792-8</t>
  </si>
  <si>
    <t>22982195-4</t>
  </si>
  <si>
    <t>22944271-6</t>
  </si>
  <si>
    <t>22649931-8</t>
  </si>
  <si>
    <t>22494179-K</t>
  </si>
  <si>
    <t>22771695-9</t>
  </si>
  <si>
    <t>22924513-9</t>
  </si>
  <si>
    <t>22929213-7</t>
  </si>
  <si>
    <t>22994529-7</t>
  </si>
  <si>
    <t>22883293-6</t>
  </si>
  <si>
    <t>22905272-1</t>
  </si>
  <si>
    <t>22747730-K</t>
  </si>
  <si>
    <t>22945268-1</t>
  </si>
  <si>
    <t>22694881-3</t>
  </si>
  <si>
    <t>22937425-7</t>
  </si>
  <si>
    <t>22954779-8</t>
  </si>
  <si>
    <t>23047271-8</t>
  </si>
  <si>
    <t>22679001-2</t>
  </si>
  <si>
    <t>22785257-7</t>
  </si>
  <si>
    <t>22713350-3</t>
  </si>
  <si>
    <t>22769350-9</t>
  </si>
  <si>
    <t>22329212-7</t>
  </si>
  <si>
    <t>22988968-0</t>
  </si>
  <si>
    <t>22857635-2</t>
  </si>
  <si>
    <t>22736028-3</t>
  </si>
  <si>
    <t>22927706-5</t>
  </si>
  <si>
    <t>22395027-2</t>
  </si>
  <si>
    <t>22736396-7</t>
  </si>
  <si>
    <t>22884876-K</t>
  </si>
  <si>
    <t>22914042-6</t>
  </si>
  <si>
    <t xml:space="preserve">22486235-0 </t>
  </si>
  <si>
    <t>BASCUR LAGOS PABLO ANDRES</t>
  </si>
  <si>
    <t>RAMIREZ TORRES CRISTOBAL IGNACIO</t>
  </si>
  <si>
    <t>22821466-3</t>
  </si>
  <si>
    <t>SANHUEZA LOPEZ FRANCISCO ANTONIO</t>
  </si>
  <si>
    <t>23127692-0</t>
  </si>
  <si>
    <t>18.10.2009</t>
  </si>
  <si>
    <t>DIAZ GUAJARDO ALEJANDRO JOSE</t>
  </si>
  <si>
    <t>23151316-7</t>
  </si>
  <si>
    <t>20.10.2009</t>
  </si>
  <si>
    <t>SEPULVEDA GONZALEZ TOMAS LUCIANO</t>
  </si>
  <si>
    <t>23083369-9</t>
  </si>
  <si>
    <t>24.07.2009</t>
  </si>
  <si>
    <t>CERPA CERDA FABIAN MATIAS</t>
  </si>
  <si>
    <t>HENRIQUEZ CACERES JAIME JAEL ALEJANDRO</t>
  </si>
  <si>
    <t>VERGARA VALENZUELA TOMAS EMILIO</t>
  </si>
  <si>
    <t>22824025-7</t>
  </si>
  <si>
    <t>ESPINOZA TAPIA BENJAMIN ALONSO</t>
  </si>
  <si>
    <t xml:space="preserve">GUERRERO VELIZ JONATHAN MARCELO </t>
  </si>
  <si>
    <t>HENRIQUEZ DIAZ MARTIN IGNACIO</t>
  </si>
  <si>
    <t>22796622-K</t>
  </si>
  <si>
    <t>15.08.2008</t>
  </si>
  <si>
    <t>MARTINEZ CARILLO BENJAMIN ISAAC</t>
  </si>
  <si>
    <t xml:space="preserve">VALDES ROJAS ANTONIO JESUS </t>
  </si>
  <si>
    <t>22768146-2</t>
  </si>
  <si>
    <t xml:space="preserve">CONTRERAS LASTRA BRAYAN ALEXANDER </t>
  </si>
  <si>
    <t>22748871-9</t>
  </si>
  <si>
    <t>24.08.2009</t>
  </si>
  <si>
    <t>GAETE MALDONADO SALVADOR FERNANDO</t>
  </si>
  <si>
    <t xml:space="preserve">MARABOLI MORALES VALENTIN EDUARDO </t>
  </si>
  <si>
    <t>REYES IMAS CRISTOBAL ANTONIO</t>
  </si>
  <si>
    <t>AVILA LOYOLA CRISTIAN ALFONSO</t>
  </si>
  <si>
    <t>CALLOFA SEPULVEDA MARTIN BAUTISTA</t>
  </si>
  <si>
    <t>REYES VASQUEZ BENYAMÍN ANTONIO</t>
  </si>
  <si>
    <t>ARAVENA MORALES RAUL IGNACIO</t>
  </si>
  <si>
    <t>FARÍAS ESPINOZA MARTÍN IGNACIO</t>
  </si>
  <si>
    <t>CARREÑO CARREÑO DAMIAN ALONSO</t>
  </si>
  <si>
    <t xml:space="preserve">FUENTES PARADA VICENTE ANDRES </t>
  </si>
  <si>
    <t>LECARO NUÑEZ JOSEPH ANTOANNE</t>
  </si>
  <si>
    <t>VILLAMAN GUZMAN NICOLAS IGNACIO</t>
  </si>
  <si>
    <t>TORRES ARIAS ESTEBAN ALONSO IGNACIO</t>
  </si>
  <si>
    <t>VELIZ GUTIERREZ IAN POOL ALEJANDRO</t>
  </si>
  <si>
    <t>BECERRA SALAZAR FELIPE IGNACIO</t>
  </si>
  <si>
    <t>MEDINA AGUILERA JOSETHOMAS SEBASTIAN</t>
  </si>
  <si>
    <t>PROFESOR JEFE: DIEGO DIAZ YAÑEZ</t>
  </si>
  <si>
    <t>PROFESOR JEFE: IVAN ROJAS VALDES</t>
  </si>
  <si>
    <t>PROFESOR JEFE: JORGE OYARCE OYARCE</t>
  </si>
  <si>
    <t>PROFESOR JEFE: RICARDO JAQUE CERPA</t>
  </si>
  <si>
    <t>PROFESOR JEFE: KEVIN VASQUEZ GUAJARDO</t>
  </si>
  <si>
    <t>PROFESOR JEFE: JUAN CARLOS ABARZA VEGA</t>
  </si>
  <si>
    <t>PROFESOR JEFE: MARCELO ESPINOZA VERGARA</t>
  </si>
  <si>
    <t>ACEVEDO VALDEVENITO ALAN BASTIAN ANDRES</t>
  </si>
  <si>
    <t>23530616-6</t>
  </si>
  <si>
    <t xml:space="preserve">ACUÑA SEGUEL LUIS STEVEN </t>
  </si>
  <si>
    <t>23504559-1</t>
  </si>
  <si>
    <t>AVENDAÑO ESPINOZA EMILIO ALEJANDRO</t>
  </si>
  <si>
    <t>23262587-2</t>
  </si>
  <si>
    <t>CANALES ORTIZ EMILIO VICENTE</t>
  </si>
  <si>
    <t>23176606-5</t>
  </si>
  <si>
    <t>CARABONI ROMAN EMILIANO ANDRE</t>
  </si>
  <si>
    <t>23495851-8</t>
  </si>
  <si>
    <t>CARREÑO ORTEGA GABRIEL IGNACIO</t>
  </si>
  <si>
    <t>23357002-8</t>
  </si>
  <si>
    <t>CRUZAT PEREZ FELIPE IGNACIO</t>
  </si>
  <si>
    <t>23434088-3</t>
  </si>
  <si>
    <t>DIAZ MEDINA LEONEL ALEXANDER</t>
  </si>
  <si>
    <t>23465347-4</t>
  </si>
  <si>
    <t>FAUNDEZ MORENO BENJAMIN ANTONIO</t>
  </si>
  <si>
    <t>23318333-4</t>
  </si>
  <si>
    <t>GAETE GAETE ALAN NICOLAS ESTEBAN</t>
  </si>
  <si>
    <t>23658522-0</t>
  </si>
  <si>
    <t>23600594-1</t>
  </si>
  <si>
    <t>GONZALEZ HERRERA KEVIN ANDRES</t>
  </si>
  <si>
    <t>23649701-1</t>
  </si>
  <si>
    <t>23121963-3</t>
  </si>
  <si>
    <t xml:space="preserve">HENRIQUEZ MORALES MARTIN ESTEBAN </t>
  </si>
  <si>
    <t>23473994-8</t>
  </si>
  <si>
    <t>JOFRE CERPA MATIAS RODRIGO</t>
  </si>
  <si>
    <t>23426109-6</t>
  </si>
  <si>
    <t>MOLINA TORRALES LEON ALONZO</t>
  </si>
  <si>
    <t>23421820-4</t>
  </si>
  <si>
    <t>MORAN VERGARA BENJAMIN ABEL</t>
  </si>
  <si>
    <t>23212780-5</t>
  </si>
  <si>
    <t>22978373-4</t>
  </si>
  <si>
    <t>PEÑA INOSTROZA OSCAR DANIEL</t>
  </si>
  <si>
    <t>23082262-K</t>
  </si>
  <si>
    <t>RAMIREZ FUENTES MAXIMILIANO ANDRES</t>
  </si>
  <si>
    <t>23482706-5</t>
  </si>
  <si>
    <t>RAMOS MALDONADO JULLIANO ALEXANDER</t>
  </si>
  <si>
    <t>23078418-3</t>
  </si>
  <si>
    <t>RAYO CONCHA JULIO ANTONIO</t>
  </si>
  <si>
    <t>23344181-3</t>
  </si>
  <si>
    <t xml:space="preserve">RIQUELME RIQUELME MIGUEL ALEXIS </t>
  </si>
  <si>
    <t>23634099-6</t>
  </si>
  <si>
    <t>SALAS TOLEDO SEBASTIAN NICOLAS</t>
  </si>
  <si>
    <t>23400222-8</t>
  </si>
  <si>
    <t>23403195-3</t>
  </si>
  <si>
    <t>SAN MARTIN GUTIERREZ MATIAS ANTONIO</t>
  </si>
  <si>
    <t>23389441-9</t>
  </si>
  <si>
    <t>SANCHEZ AGUILAR ELIEL ISAIAS</t>
  </si>
  <si>
    <t>23500567-0</t>
  </si>
  <si>
    <t>SEPULVEDA MENDEZ CRISTOPHER MAXIMILIANO</t>
  </si>
  <si>
    <t>23487138-2</t>
  </si>
  <si>
    <t>TRONCOSO SALAS BENJAMIN ISAIAS</t>
  </si>
  <si>
    <t>27162241-4</t>
  </si>
  <si>
    <t>URBINA CIFUENTES JEAN LUCAS</t>
  </si>
  <si>
    <t>23354760-3</t>
  </si>
  <si>
    <t>VALENZUELA VARELA AGUSTIN IGNACIO</t>
  </si>
  <si>
    <t>23450147-K</t>
  </si>
  <si>
    <t>VARELA BASTIAS JULIAN IGNACIO</t>
  </si>
  <si>
    <t>23308896-K</t>
  </si>
  <si>
    <t xml:space="preserve">VARGAS CHAVEZ ALVARO FELIPE </t>
  </si>
  <si>
    <t>23354724-7</t>
  </si>
  <si>
    <t>VERA MORALES JOSE CRISTOBAL</t>
  </si>
  <si>
    <t>23581311-4</t>
  </si>
  <si>
    <t>VERDUGO VEGA MAURICIO ABRAHAM</t>
  </si>
  <si>
    <t>23424124-9</t>
  </si>
  <si>
    <t>VILLASECA ROJAS ARMANDO ENRIQUE</t>
  </si>
  <si>
    <t>23493962-9</t>
  </si>
  <si>
    <t>ANDRADES MUÑOZ MANUEL EMILIO</t>
  </si>
  <si>
    <t>23363057-8</t>
  </si>
  <si>
    <t xml:space="preserve">ARENA CARRASCO ALONSO JAVIER </t>
  </si>
  <si>
    <t>23367008-1</t>
  </si>
  <si>
    <t>CAMUS OSORIO BENJAMIN IGNACIO</t>
  </si>
  <si>
    <t>23423102-2</t>
  </si>
  <si>
    <t>CASTRO CASTRO NICOLAS GASPAR</t>
  </si>
  <si>
    <t>23482959-9</t>
  </si>
  <si>
    <t>CERDA VALENZUELA RENATO JAVIER</t>
  </si>
  <si>
    <t>23549542-2</t>
  </si>
  <si>
    <t>CID HERNANDEZ GUILLERMO JAHANS JAHIRENS</t>
  </si>
  <si>
    <t>23558256-2</t>
  </si>
  <si>
    <t>CONTRERAS SALAZAR NIKOLAS BENJAMIN EDUARDO</t>
  </si>
  <si>
    <t>23600612-3</t>
  </si>
  <si>
    <t xml:space="preserve">DELGADO CASTRO MAXIMO ALEJANDRO </t>
  </si>
  <si>
    <t>23528959-8</t>
  </si>
  <si>
    <t>FARIAS JIMENEZ GABRIEL EDUARDO</t>
  </si>
  <si>
    <t>23366556-8</t>
  </si>
  <si>
    <t>23550160-0</t>
  </si>
  <si>
    <t>GONZALEZ LABRAÑA ANGEL ANDRES</t>
  </si>
  <si>
    <t>23618935-K</t>
  </si>
  <si>
    <t>23551416-8</t>
  </si>
  <si>
    <t>HIPPOLYTHE WOOBENS</t>
  </si>
  <si>
    <t xml:space="preserve">LOBOS LOPEZ GASPAR EDUARDO </t>
  </si>
  <si>
    <t>23237495-0</t>
  </si>
  <si>
    <t>LUZARDO MEDINA ADRIAN EDUARDO</t>
  </si>
  <si>
    <t>27076440-1</t>
  </si>
  <si>
    <t>MACHADO ARAVENA BASTIAN VICENTE</t>
  </si>
  <si>
    <t>23657513-6</t>
  </si>
  <si>
    <t>MANCILLA VILLALOBOS CHRISTIAN FELIPE</t>
  </si>
  <si>
    <t>23534039-9</t>
  </si>
  <si>
    <t xml:space="preserve">MEDINA CID TOMAS ANTONIO </t>
  </si>
  <si>
    <t>23273962-2</t>
  </si>
  <si>
    <t>MORALES ALVAREZ BENJAMIN ALEJANDRO</t>
  </si>
  <si>
    <t>23393524-7</t>
  </si>
  <si>
    <t xml:space="preserve">MORALES ROJAS GABRIEL IGNACIO </t>
  </si>
  <si>
    <t>23365986-K</t>
  </si>
  <si>
    <t>PAVEZ SALAS DYLAN GASPAR</t>
  </si>
  <si>
    <t>23450105-4</t>
  </si>
  <si>
    <t>PEREZ ROJAS MARTIN ALONSO</t>
  </si>
  <si>
    <t>23394604-4</t>
  </si>
  <si>
    <t xml:space="preserve">PRADO PEREZ CARLOS ERNESTON </t>
  </si>
  <si>
    <t>26371164-5</t>
  </si>
  <si>
    <t xml:space="preserve">ROJAS RAMIREZ JONATHAN DANIEL </t>
  </si>
  <si>
    <t>23400480-8</t>
  </si>
  <si>
    <t xml:space="preserve">ROJAS SALAS EMMANUEL ALEXANDER </t>
  </si>
  <si>
    <t>23475135-2</t>
  </si>
  <si>
    <t>SALDAÑO HERNANDEZ DIEGO ALONSO</t>
  </si>
  <si>
    <t>23527580-5</t>
  </si>
  <si>
    <t xml:space="preserve">SOTO SEGURA JUSTIN JOSUE </t>
  </si>
  <si>
    <t>23438857-6</t>
  </si>
  <si>
    <t>URRA ARELLANO PIERO ANTONIO</t>
  </si>
  <si>
    <t>23625283-3</t>
  </si>
  <si>
    <t>VALDES JAQUE CRISTOBAL AARON</t>
  </si>
  <si>
    <t>23532306-0</t>
  </si>
  <si>
    <t xml:space="preserve">VASQUEZ VILLALOBOS CESAR ELIAZAR </t>
  </si>
  <si>
    <t>23549913-4</t>
  </si>
  <si>
    <t>VOLTAIRE JOHN TODLER</t>
  </si>
  <si>
    <t>26481676-9</t>
  </si>
  <si>
    <t>ALBORNOZ ORTEGA FRANCISCO JAVIER</t>
  </si>
  <si>
    <t>23678956-K</t>
  </si>
  <si>
    <t>ARAVENA ARCOS RODRIGO ANTONIO</t>
  </si>
  <si>
    <t>23638755-0</t>
  </si>
  <si>
    <t>ARELLANO CABRERA BYRON BENJAMIN YORSHUA</t>
  </si>
  <si>
    <t>23533367-8</t>
  </si>
  <si>
    <t>ARENAS MORAGA SIMON ESTEBAN</t>
  </si>
  <si>
    <t>23399702-1</t>
  </si>
  <si>
    <t xml:space="preserve">BADILLA CASTILLO JESUS ANDRES </t>
  </si>
  <si>
    <t>23603874-2</t>
  </si>
  <si>
    <t>BRIONES GONZALEZ MATIAS ALBERTO</t>
  </si>
  <si>
    <t>23464367-3</t>
  </si>
  <si>
    <t>BRUNING CAYUQUEO DANIEL ALONSO</t>
  </si>
  <si>
    <t>23372645-1</t>
  </si>
  <si>
    <t>CAÑETE MORALES MARTIN ALONSO</t>
  </si>
  <si>
    <t>23336724-9</t>
  </si>
  <si>
    <t>ESPINOSA GONZALEZ ANDRES DE JESUS</t>
  </si>
  <si>
    <t>23308181-7</t>
  </si>
  <si>
    <t>FERNANDEZ LUNA OMAR ORLANDO DE JESUS</t>
  </si>
  <si>
    <t>23562988-7</t>
  </si>
  <si>
    <t>FIGUEROA BUSTAMANTE THOMAS ARON EMILIANO</t>
  </si>
  <si>
    <t>23639551-0</t>
  </si>
  <si>
    <t>23962454-5</t>
  </si>
  <si>
    <t>GONZALEZ MUÑOZ MARTIN ALONSO</t>
  </si>
  <si>
    <t>23449943-2</t>
  </si>
  <si>
    <t>GONZALEZ VENEGAS MATIAS NATANIEL</t>
  </si>
  <si>
    <t>23430821-1</t>
  </si>
  <si>
    <t>HERNANDEZ MEJIAS FELIPE IGNACIO</t>
  </si>
  <si>
    <t>23400872-2</t>
  </si>
  <si>
    <t>JEREZ ARAVENA CRISTOBAL EMILIANO</t>
  </si>
  <si>
    <t>23428786-9</t>
  </si>
  <si>
    <t>LEAL JIMENEZ MARCELO IGNACIO</t>
  </si>
  <si>
    <t>23486094-1</t>
  </si>
  <si>
    <t>MATURANA NUÑEZ JAIME OSVALDO</t>
  </si>
  <si>
    <t>23430712-6</t>
  </si>
  <si>
    <t>MOLINA MARAMBIO PATRICIO JOSE</t>
  </si>
  <si>
    <t>23646180-7</t>
  </si>
  <si>
    <t>MOLINA VASQUEZ JEREMY ALEXANDER</t>
  </si>
  <si>
    <t>23441125-K</t>
  </si>
  <si>
    <t>MONTERO VILLAGRA MARTIN IGNACIO</t>
  </si>
  <si>
    <t>23455740-8</t>
  </si>
  <si>
    <t>MUÑOZ CANALES MARTIN EDUARDO ANDRES</t>
  </si>
  <si>
    <t>23476570-1</t>
  </si>
  <si>
    <t>MUÑOZ VILLEGAS BENJAMIN ESTEBAN</t>
  </si>
  <si>
    <t>23579120-K</t>
  </si>
  <si>
    <t xml:space="preserve">MUÑOZ YAÑEZ BRUNO ALONSO </t>
  </si>
  <si>
    <t>23529383-8</t>
  </si>
  <si>
    <t>NEIRA GONZALEZ ANIBAL IGNACIO</t>
  </si>
  <si>
    <t>23611676-K</t>
  </si>
  <si>
    <t>NUÑEZ ARELLANO JUAN ANTONIO</t>
  </si>
  <si>
    <t>23505479-5</t>
  </si>
  <si>
    <t>PADRON CABRERA EDWIN ELIEZER</t>
  </si>
  <si>
    <t>25752936-3</t>
  </si>
  <si>
    <t>PALMA LOPEZ CRISTOBAL ANTONIO</t>
  </si>
  <si>
    <t>23380937-3</t>
  </si>
  <si>
    <t>PARRA YAÑEZ LUIS ORLANDO</t>
  </si>
  <si>
    <t>23367511-3</t>
  </si>
  <si>
    <t>RAMIREZ BENAVIDES BENJAMIN ANDRES</t>
  </si>
  <si>
    <t>23501403-3</t>
  </si>
  <si>
    <t>RIOSECO VILCHES HECTOR JEREMIAS</t>
  </si>
  <si>
    <t>23629616-4</t>
  </si>
  <si>
    <t>ROJAS GONZALEZ NICOLAS CARLOS ALFREDO</t>
  </si>
  <si>
    <t>23530884-3</t>
  </si>
  <si>
    <t>ROJAS HERRERA MARTIN ALONSO</t>
  </si>
  <si>
    <t>23576051-7</t>
  </si>
  <si>
    <t>SALAS SALAS ALEJANDRO ESTEBAN</t>
  </si>
  <si>
    <t>23539069-8</t>
  </si>
  <si>
    <t>SALAS SALAS JOAQUIN ENRIQUE</t>
  </si>
  <si>
    <t>23609819-2</t>
  </si>
  <si>
    <t>SALAZAR PADILLA MARTIN SANDRINO</t>
  </si>
  <si>
    <t>23606832-3</t>
  </si>
  <si>
    <t>SEPULVEDA ORELLANA MARTIN HERNAN</t>
  </si>
  <si>
    <t>23571570-8</t>
  </si>
  <si>
    <t>VILLALOBOS CORTES AGUSTIN ELIAS</t>
  </si>
  <si>
    <t>23560297-0</t>
  </si>
  <si>
    <t>ABARZUA CEPEDA VICTOR FELIPE DE JESUS</t>
  </si>
  <si>
    <t>23586429-0</t>
  </si>
  <si>
    <t>ARENAS AGUIRRE CRISTOBAL MIGUEL</t>
  </si>
  <si>
    <t>23563411-2</t>
  </si>
  <si>
    <t>CASTRO MALDONADO BENJAMIN ANTONIO</t>
  </si>
  <si>
    <t>23379199-7</t>
  </si>
  <si>
    <t>COFRE ALMONACID ERICK JESUS</t>
  </si>
  <si>
    <t>23643970-4</t>
  </si>
  <si>
    <t>CORDOVA ANDRADE LUCAS HUMBERTO</t>
  </si>
  <si>
    <t>23552196-2</t>
  </si>
  <si>
    <t>DONAIRE PUNTARELLI CARLOS ALEXIS</t>
  </si>
  <si>
    <t>23072815-1</t>
  </si>
  <si>
    <t>FLORES VALENZUELA DYLAN ALEXANDER</t>
  </si>
  <si>
    <t>23601734-6</t>
  </si>
  <si>
    <t>FUENTES NAVARRO GABRIEL SEBASTIAN</t>
  </si>
  <si>
    <t>23519165-2</t>
  </si>
  <si>
    <t>FUENTES OTAROLA AGUSTIN FELIPE</t>
  </si>
  <si>
    <t>23603125-K</t>
  </si>
  <si>
    <t>FUENTES SEPULVEDA JOSE NICOLAS</t>
  </si>
  <si>
    <t>23627215-K</t>
  </si>
  <si>
    <t>GALVEZ NOVOA JOAQUIN GUSTAVO</t>
  </si>
  <si>
    <t>23279366-K</t>
  </si>
  <si>
    <t>GONZALEZ SALCEDO VICENTE JESUS</t>
  </si>
  <si>
    <t>23520530-0</t>
  </si>
  <si>
    <t>IBAÑEZ URRUTIA CARLOS JOAQUIN ALBERTO</t>
  </si>
  <si>
    <t>23469235-6</t>
  </si>
  <si>
    <t>23380695-1</t>
  </si>
  <si>
    <t>LEON SANCHEZ ANGEL GABRIEL</t>
  </si>
  <si>
    <t>100578766-8</t>
  </si>
  <si>
    <t>LOPEZ GONZALEZ MIGUEL ANGEL</t>
  </si>
  <si>
    <t>23559969-4</t>
  </si>
  <si>
    <t>MARTINEZ GOMEZ JORDAN JOAQUIN</t>
  </si>
  <si>
    <t>23536660-6</t>
  </si>
  <si>
    <t>MENDEZ BRAVO JOAQUIN IGNACIO</t>
  </si>
  <si>
    <t>23576543-8</t>
  </si>
  <si>
    <t>MOYA VASQUEZ LUCAS BENJAMIN</t>
  </si>
  <si>
    <t>23599827-0</t>
  </si>
  <si>
    <t xml:space="preserve">MUÑOZ VILLAGRAN JOAQUIN ALEJANDRO </t>
  </si>
  <si>
    <t>23429870-4</t>
  </si>
  <si>
    <t>NOVOA ROJAS GABRIEL ANTONIO</t>
  </si>
  <si>
    <t>23646428-8</t>
  </si>
  <si>
    <t xml:space="preserve">PARMA GUAJARDO JOAQUIN IGNACIO </t>
  </si>
  <si>
    <t>23443139-0</t>
  </si>
  <si>
    <t>PEREZ GUAJARDO DAMIAN NICOLAS MATEO</t>
  </si>
  <si>
    <t>23561952-0</t>
  </si>
  <si>
    <t>QUEVEDO OLAVE ALEX JAVIER</t>
  </si>
  <si>
    <t>23374204-K</t>
  </si>
  <si>
    <t>ROJAS VALDIVIA JOSE PABLO</t>
  </si>
  <si>
    <t>23416557-7</t>
  </si>
  <si>
    <t>ROMERO URRUTIA BASTIAN ANDRES</t>
  </si>
  <si>
    <t>23340421-7</t>
  </si>
  <si>
    <t>SALAS DIAZ THOMAS VICENTE</t>
  </si>
  <si>
    <t>23543796-1</t>
  </si>
  <si>
    <t>SALAS QUEZADA MARTIN ANTONIO</t>
  </si>
  <si>
    <t>23009085-8</t>
  </si>
  <si>
    <t>SANCHEZ CERDA BENJAMIN THOMAS</t>
  </si>
  <si>
    <t>23444410-7</t>
  </si>
  <si>
    <t>TAPIA ARAYA BENJAMIN ALONSO</t>
  </si>
  <si>
    <t>23458923-7</t>
  </si>
  <si>
    <t>VALDERRAMA ALFARO CARLOS VICENTE</t>
  </si>
  <si>
    <t>23429583-7</t>
  </si>
  <si>
    <t>VALDES ALBORNOZ JORGE ALEXANDER</t>
  </si>
  <si>
    <t>23396049-7</t>
  </si>
  <si>
    <t>VASQUEZ POBLETE MIGUEL NICOLAS</t>
  </si>
  <si>
    <t>22866102-3</t>
  </si>
  <si>
    <t>VEGA CACERES JOSE MANUEL</t>
  </si>
  <si>
    <t>23620586-K</t>
  </si>
  <si>
    <t>VERGARA CATALAN JOAQUIN ANTONIO</t>
  </si>
  <si>
    <t>23367250-5</t>
  </si>
  <si>
    <t>AREVALO LOYOLA VICENTE ALONSO</t>
  </si>
  <si>
    <t>23516154-0</t>
  </si>
  <si>
    <t>BARTIERRA CASTILLO XAVIER EDUARDO</t>
  </si>
  <si>
    <t>23484839-9</t>
  </si>
  <si>
    <t>CASTILLO OROSTICA BRAYAN ANTONIO</t>
  </si>
  <si>
    <t>CHAVEZ VERGARA JOSE MANUEL</t>
  </si>
  <si>
    <t>23310476-0</t>
  </si>
  <si>
    <t>CORTES TAPIA EMANUEL ESTEBAN</t>
  </si>
  <si>
    <t>23358334-0</t>
  </si>
  <si>
    <t>DE LA FUENTE GOMEZ RAFAEL ANTONIO</t>
  </si>
  <si>
    <t>23477575-8</t>
  </si>
  <si>
    <t>FAUNDEZ CONTRERAS VICENTE ALBERTO</t>
  </si>
  <si>
    <t>23427209-8</t>
  </si>
  <si>
    <t xml:space="preserve">FUENTES MARTINEZ BENJAMIN MAURICIO </t>
  </si>
  <si>
    <t>23375421-8</t>
  </si>
  <si>
    <t>23230226-7</t>
  </si>
  <si>
    <t>23400154-K</t>
  </si>
  <si>
    <t>GAVILAN DIAZ VICTOR FELIPE</t>
  </si>
  <si>
    <t>23330733-5</t>
  </si>
  <si>
    <t>GUTIERREZ PAREDES AGUSTIN ALEJANDRO</t>
  </si>
  <si>
    <t>23450972-1</t>
  </si>
  <si>
    <t>HERNANDEZ CACERES MAXIMILIANO REY NICOLAS</t>
  </si>
  <si>
    <t>23642990-3</t>
  </si>
  <si>
    <t>JAUREGUI GONZALEZ JOAQUIN ALONSO</t>
  </si>
  <si>
    <t>23603650-2</t>
  </si>
  <si>
    <t>23645741-9</t>
  </si>
  <si>
    <t>MARTINEZ CONTARDO DAVID SAUL</t>
  </si>
  <si>
    <t>23479805-7</t>
  </si>
  <si>
    <t>MEDINA CERDA MATIAS ALEXANDER</t>
  </si>
  <si>
    <t>23498442-K</t>
  </si>
  <si>
    <t>23553554-8</t>
  </si>
  <si>
    <t>MOYA MUÑOZ CAMILO ANTONIO</t>
  </si>
  <si>
    <t>23469855-9</t>
  </si>
  <si>
    <t>PARRA MENDOZA PABLO ANDRES</t>
  </si>
  <si>
    <t>23495191-2</t>
  </si>
  <si>
    <t>PELDOZA GARRIDO ALONSO ESTEBAN</t>
  </si>
  <si>
    <t>23436129-5</t>
  </si>
  <si>
    <t>23440863-1</t>
  </si>
  <si>
    <t>23651607-5</t>
  </si>
  <si>
    <t>RIOS DE LA FUENTES MATIAS ALBERTO</t>
  </si>
  <si>
    <t>23632948-8</t>
  </si>
  <si>
    <t>RIVERA RAMIREZ AGUSTIN ESTEBAN</t>
  </si>
  <si>
    <t>23314299-9</t>
  </si>
  <si>
    <t>ROJAS CABELLO SEBASTIAN MATIAS</t>
  </si>
  <si>
    <t>23416446-5</t>
  </si>
  <si>
    <t>SAAVEDRA BAEZA MAXIMILIANO RAFAEL PEDRO</t>
  </si>
  <si>
    <t>23389079-0</t>
  </si>
  <si>
    <t>SEPULVEDA GOZALEZ GUILLERMO JESUS</t>
  </si>
  <si>
    <t>23484401-6</t>
  </si>
  <si>
    <t xml:space="preserve">STOBER ESPINOSA GUILLERMO ALEXANDER </t>
  </si>
  <si>
    <t>23547694-0</t>
  </si>
  <si>
    <t>VALENZUELA CAYHUAN JOAQUIN ELIAN</t>
  </si>
  <si>
    <t>VALENZUELA SANCHEZ LUIS MATIAS</t>
  </si>
  <si>
    <t>23006352-4</t>
  </si>
  <si>
    <t xml:space="preserve">VARGAS CACERES BENJAMIN ANTONIA </t>
  </si>
  <si>
    <t>23388065-5</t>
  </si>
  <si>
    <t>23555745-2</t>
  </si>
  <si>
    <t>NORAMBUENA CASTRO LEONARDO ENRIQUE ANTONIO</t>
  </si>
  <si>
    <t>SALDIAS GAJARDO DIEGO ALEXIS</t>
  </si>
  <si>
    <t>GARCIA ALCANTAR WILLIAMS ALEXSANDER</t>
  </si>
  <si>
    <t>GUTUIERREZ ZUÑIGA DAMIAN RICARDO ANTONIO</t>
  </si>
  <si>
    <t>100583737-1</t>
  </si>
  <si>
    <t>CABION GARRIDO GORKA DOMENEC</t>
  </si>
  <si>
    <t>GARCIA ROJAS SEBASTIAN MAXIMILIANO</t>
  </si>
  <si>
    <t>23205693-2</t>
  </si>
  <si>
    <t>GONZALEZ ARAVENA JOSE SEGUNDO</t>
  </si>
  <si>
    <t>GAJARDO NUÑEZ WILLIAN ALONSO</t>
  </si>
  <si>
    <t xml:space="preserve">MORENO TORRES ARIEL ALFONSO </t>
  </si>
  <si>
    <t>QUEVEDO QUINTEROS BENJAMIN ALEJANDRO MATIAS</t>
  </si>
  <si>
    <t>SAAVEDRA MIGUELES MATIAS PEDRO JOSE</t>
  </si>
  <si>
    <t>23426927-5</t>
  </si>
  <si>
    <t>YEVENES VERDUGO  ANGEL DAVID</t>
  </si>
  <si>
    <t>YAÑEZ FUENTES AGUSTIN ANDRES</t>
  </si>
  <si>
    <t>23519763-4</t>
  </si>
  <si>
    <t>HERNANDEZ ARAYA IGNACIO ANDRES</t>
  </si>
  <si>
    <t>23356629-2</t>
  </si>
  <si>
    <t>ARAYA HERRERA IAN BASTIAN</t>
  </si>
  <si>
    <t>23495961-1</t>
  </si>
  <si>
    <t>HERNANDEZ PULGAR BENJAMIN NICOLAS</t>
  </si>
  <si>
    <t>23537022-0</t>
  </si>
  <si>
    <t>BERNAL MATUS IVAN PATRICIO</t>
  </si>
  <si>
    <t>22944716-5</t>
  </si>
  <si>
    <t>22492026-1</t>
  </si>
  <si>
    <t>MUÑOZ REBOLLEDO MICHAEL ALEJANDRO</t>
  </si>
  <si>
    <t xml:space="preserve">SAN MARTIN RUDOLPH FELIPE ALDOLFO </t>
  </si>
  <si>
    <t>DIAZ GARRIDO MATIAS ALEXIS</t>
  </si>
  <si>
    <t>BUSTOS DIAZ MARTIN ALFONSO</t>
  </si>
  <si>
    <t>LAGOS CONTRERAS MARTIN NICOLAS</t>
  </si>
  <si>
    <t>NOVOA CASTILLO GABRIEL JESUS</t>
  </si>
  <si>
    <t>23392210-2</t>
  </si>
  <si>
    <t>VERGARA RAMIREZ ESTEBAN BENJAMIN</t>
  </si>
  <si>
    <t>23534790-3</t>
  </si>
  <si>
    <t>16-01.2011</t>
  </si>
  <si>
    <t>ACEVEDO CANALES YOSTIN ALEJANDRO</t>
  </si>
  <si>
    <t>23544383-K</t>
  </si>
  <si>
    <t>GONZALEZ ARAYA MARTIN IGNACIO</t>
  </si>
  <si>
    <t>23559913-9</t>
  </si>
  <si>
    <t>23239027-1</t>
  </si>
  <si>
    <t>INFANTE PASTENE BRAYAN JESUS</t>
  </si>
  <si>
    <t>VALLEJOS ROJAS MAXIMILIANO JAVIER</t>
  </si>
  <si>
    <t>23092985-8</t>
  </si>
  <si>
    <t>22113083-9</t>
  </si>
  <si>
    <t>PEÑA BERNAL GASPAR ANDRE</t>
  </si>
  <si>
    <t>23360834-3</t>
  </si>
  <si>
    <t>29.06.2010</t>
  </si>
  <si>
    <t>CIFUENTES CHAMORRO BRYAN ANDRES</t>
  </si>
  <si>
    <t>23537420-K</t>
  </si>
  <si>
    <t>17.01.2011</t>
  </si>
  <si>
    <t>CASTRO ARAVENA ARNALDO DARIO ALEXANDER</t>
  </si>
  <si>
    <t>LARA VALDEBENITO CRISTIAN FELIPE</t>
  </si>
  <si>
    <t>GUTIERREZ INOSTROZA MARCO ARTURO</t>
  </si>
  <si>
    <t>TORRES LOPEZ MARCELO EMILIANO</t>
  </si>
  <si>
    <t>23509357-K</t>
  </si>
  <si>
    <t>URIBE CORNEJO MATIAS</t>
  </si>
  <si>
    <t>23431746-6</t>
  </si>
  <si>
    <t xml:space="preserve">SALAS TORRES BRAYAN JAIRO BECKAM </t>
  </si>
  <si>
    <t>GONZALEZ SAGASTIBELZA CRISTOBAL ALONSO</t>
  </si>
  <si>
    <t>23424256-3</t>
  </si>
  <si>
    <t>VALLE GONZALEZ MAXIMILIANO JUAN ALONSO</t>
  </si>
  <si>
    <t>23128840-6</t>
  </si>
  <si>
    <t>VASQUEZ SOTO MARTIN ALONSO</t>
  </si>
  <si>
    <t>22898736-0</t>
  </si>
  <si>
    <t>GAJARDO IBAÑEZ JEAN IGNACIO</t>
  </si>
  <si>
    <t>23294608-3</t>
  </si>
  <si>
    <t>HERRERA GONZALEZ VICENTE EMILIO</t>
  </si>
  <si>
    <t>23578381-9</t>
  </si>
  <si>
    <t>SALGADO BARRERA JOAQUIN IGNACIO</t>
  </si>
  <si>
    <t>23671103-K</t>
  </si>
  <si>
    <t>CERDA OYARZUN YEISON YAMPIER</t>
  </si>
  <si>
    <t>23485453-4</t>
  </si>
  <si>
    <t>CORTEZ RAMIREZ RICARDO ANDRES</t>
  </si>
  <si>
    <t>ARAVENA ULLOA IGNACIO ALEJANDRO</t>
  </si>
  <si>
    <t>23449117-2</t>
  </si>
  <si>
    <t>13-10.2010</t>
  </si>
  <si>
    <t>TAPIA ILABACA LUCAS JESUS</t>
  </si>
  <si>
    <t>23552195-4</t>
  </si>
  <si>
    <t>NICOLAO CORVELEYN JOAQUIN TOMAS ARIEL</t>
  </si>
  <si>
    <t>23621140-1</t>
  </si>
  <si>
    <t>CASTRO OSORIO AGUSTIN TOMAS</t>
  </si>
  <si>
    <t>23539006-K</t>
  </si>
  <si>
    <t>21.01.2011</t>
  </si>
  <si>
    <t>VEGA MURGA VICENTE ALONSO</t>
  </si>
  <si>
    <t>23451196-3</t>
  </si>
  <si>
    <t>QUINTANILLA QUINTANA TOMAS ALFONSO</t>
  </si>
  <si>
    <t>23615975-4</t>
  </si>
  <si>
    <t>11.04.2011</t>
  </si>
  <si>
    <t>22889531-8</t>
  </si>
  <si>
    <t>ARISMENDY LASERNA ISAC DANIEL</t>
  </si>
  <si>
    <t>22925448-0</t>
  </si>
  <si>
    <t>GONZALEZ GONZALEZ BENJAMIN IGNACIO</t>
  </si>
  <si>
    <t>23612357-K</t>
  </si>
  <si>
    <t>17.10.2010</t>
  </si>
  <si>
    <t>ORMEÑO FERNANDOY FRANCISCO ANDRES</t>
  </si>
  <si>
    <t>22701621-3</t>
  </si>
  <si>
    <t>ROJAS MEZA GASPAR GUILLERMO</t>
  </si>
  <si>
    <t>22828941-8</t>
  </si>
  <si>
    <t>YAÑEZ SUAREZ VICENTE MAURICIO</t>
  </si>
  <si>
    <t>23387995-9</t>
  </si>
  <si>
    <t>AMARO STULL JESUS NICOLAS</t>
  </si>
  <si>
    <t>23388677-7</t>
  </si>
  <si>
    <t>REYES SANCHEZ GABRIEL ENRIQUE</t>
  </si>
  <si>
    <t>23186433-4</t>
  </si>
  <si>
    <t>VERDEJO FILIPPI AMARO LUCCIANO</t>
  </si>
  <si>
    <t>CURSO:  4º  AÑO "E"                        2026</t>
  </si>
  <si>
    <t>NOMINA  DE ALUMNOS    Especialidad: ELECTRONICA</t>
  </si>
  <si>
    <t>CURSO:  4º  AÑO "D"                        2026</t>
  </si>
  <si>
    <t>NOMINA  DE ALUMNOS      Especialidad: GRAFICA</t>
  </si>
  <si>
    <t>NOMINA  DE ALUMNOS     Especialidad: ELECTRICIDAD</t>
  </si>
  <si>
    <t>NOMINA  DE ALUMNOS      Especialidad: MECANICA AUTOMOTRIZ</t>
  </si>
  <si>
    <t>NOMINA  DE ALUMNOS     Especialidad: MECANICA INDUSTRIAL</t>
  </si>
  <si>
    <t>NOMINA  DE ALUMNOS      Especialidad: ELECTRONICA</t>
  </si>
  <si>
    <t>CURSO:  3º  AÑO "E"                        2026</t>
  </si>
  <si>
    <t>NOMINA  DE ALUMNOS        Especialidad: GRAFICA</t>
  </si>
  <si>
    <t>NOMINA  DE ALUMNOS      Especialidad: ELECTRICIDAD</t>
  </si>
  <si>
    <t>CURSO:  3º  AÑO "C"                        2026</t>
  </si>
  <si>
    <t>CURSO:  3º  AÑO "D"                        2026</t>
  </si>
  <si>
    <t>CURSO:  3º  AÑO "B"                        2026</t>
  </si>
  <si>
    <t>NOMINA  DE ALUMNOS        Especialidad: MECANICA INDUSTRIAL</t>
  </si>
  <si>
    <t>NUEVO</t>
  </si>
  <si>
    <t>CASTRO ARAVENA GIANFRANCO BENJAMIN IGNACIO</t>
  </si>
  <si>
    <t>22940031-2</t>
  </si>
  <si>
    <t>QUILODRAN QUEIROLO AGUSTIN ALBERTO</t>
  </si>
  <si>
    <t>22976175.7</t>
  </si>
  <si>
    <t>CURSO:  4º  AÑO "A"                        2026</t>
  </si>
  <si>
    <t>CURSO:  4º  AÑO "B"                        2026</t>
  </si>
  <si>
    <t>CURSO:  4º  AÑO "C"                        2026</t>
  </si>
  <si>
    <t>CURSO:  3º  AÑO "A"                        2026</t>
  </si>
  <si>
    <t>CURSO:  2º  AÑO "A"                        2026</t>
  </si>
  <si>
    <t>CHAMORRO ROJAS ALEJANDRO MAXIMILIANO</t>
  </si>
  <si>
    <t>23045650-K</t>
  </si>
  <si>
    <t>MUÑOZ GUTIERREZ MAURICIO CRISTOBAL</t>
  </si>
  <si>
    <t>23149991-1</t>
  </si>
  <si>
    <t>GUTIERREZ GAJARDO AXEL JAVIER</t>
  </si>
  <si>
    <t>23248538-8</t>
  </si>
  <si>
    <t>SAAVEDRA GONZALEZ FIDEL ALEXIS</t>
  </si>
  <si>
    <t>22370473-5</t>
  </si>
  <si>
    <t>CURSO:  1º  AÑO "A"                        2026</t>
  </si>
  <si>
    <t>CURSO:  1º  AÑO "B"                        2026</t>
  </si>
  <si>
    <t>CURSO:  1º  AÑO "C"                        2026</t>
  </si>
  <si>
    <t>CURSO:  1º  AÑO "D"                        2026</t>
  </si>
  <si>
    <t>CURSO:  1º  AÑO "E"                        2026</t>
  </si>
  <si>
    <t>23358712-5</t>
  </si>
  <si>
    <t>GATICA RIQUELME BENJAMIN ANTONIO</t>
  </si>
  <si>
    <t>23107087-7</t>
  </si>
  <si>
    <t>LOBOS FUENTES JUAN SEBASTIAN</t>
  </si>
  <si>
    <t>22777720-6</t>
  </si>
  <si>
    <t>22762985-1</t>
  </si>
  <si>
    <t xml:space="preserve">ARIAS DIAZ DYLAN VICENTE </t>
  </si>
  <si>
    <t>FIGUEROA GUTIERREZ SIMON IGNACIO</t>
  </si>
  <si>
    <t>23604407-6</t>
  </si>
  <si>
    <t>ARROYO MOYA TOMAS ALEXIS</t>
  </si>
  <si>
    <t>23650877-3</t>
  </si>
  <si>
    <t>23-05.20211</t>
  </si>
  <si>
    <t>CAMPOS CASTILLO TOMAS ALONSO</t>
  </si>
  <si>
    <t>23609528-2</t>
  </si>
  <si>
    <t>DURAN ROJAS EDISON RAFAEL</t>
  </si>
  <si>
    <t>23427490-2</t>
  </si>
  <si>
    <t>GUERRERO RAMIREZ MATIAS IGNACIO</t>
  </si>
  <si>
    <t>23426717-5</t>
  </si>
  <si>
    <t>VALENZUELA CASTRO VICENTE DE LA CRUZ</t>
  </si>
  <si>
    <t>23359701-5</t>
  </si>
  <si>
    <t>GONZALEZ ZURA JOAQUIN ANTONIO</t>
  </si>
  <si>
    <t>GUTIERREZ REYES RAMIRO IGNACIO</t>
  </si>
  <si>
    <t>23867673-8</t>
  </si>
  <si>
    <t>HENRIQUEZ ESPINOZA ARON ESEQUEL</t>
  </si>
  <si>
    <t>23855545-0</t>
  </si>
  <si>
    <t>VERA ARAYA FRANCO JAVIER</t>
  </si>
  <si>
    <t>23866625-2</t>
  </si>
  <si>
    <t>SALAS VARELA LEONARDO ANDRES</t>
  </si>
  <si>
    <t>23797890-0</t>
  </si>
  <si>
    <t>VERGARA SEPULVEDA MIGUEL ALFONSO</t>
  </si>
  <si>
    <t>23652904-5</t>
  </si>
  <si>
    <t>PASMIÑO VALENZUELA MATIAS ANDRES</t>
  </si>
  <si>
    <t>23481815-5</t>
  </si>
  <si>
    <t>SAN MARTIN ESPINOZA JAHEL MAXIMILIANO</t>
  </si>
  <si>
    <t>23977030-4</t>
  </si>
  <si>
    <t>JARA ROJAS EMILIO JESUS</t>
  </si>
  <si>
    <t>23680947-1</t>
  </si>
  <si>
    <t>LOPEZ ROA RODRIGO ANDRES</t>
  </si>
  <si>
    <t>23881580-0</t>
  </si>
  <si>
    <t>ORELLANA MIRANDA JAMPHIER ALEJANDRO</t>
  </si>
  <si>
    <t>23399324-7</t>
  </si>
  <si>
    <t>MUÑOZ ITURRA IAN ALONSO</t>
  </si>
  <si>
    <t>23727053-3</t>
  </si>
  <si>
    <t>GONZALEZ SILVA AMARO VICENTE</t>
  </si>
  <si>
    <t>23788506-6</t>
  </si>
  <si>
    <t>23681662-1</t>
  </si>
  <si>
    <t>CABRERA CACERES VICENTE MATIAS ALFONSO</t>
  </si>
  <si>
    <t>23840954-3</t>
  </si>
  <si>
    <t>23812600-2</t>
  </si>
  <si>
    <t xml:space="preserve">GONZALEZ TAPIA DANILO ESTEBAN </t>
  </si>
  <si>
    <t>23846868-K</t>
  </si>
  <si>
    <t>CONTRERAS VASQUEZ MATIAS GUILLERMO</t>
  </si>
  <si>
    <t>23908678-0</t>
  </si>
  <si>
    <t>23968332-0</t>
  </si>
  <si>
    <t>JAQUE ROJAS MARTIN PATRICIO</t>
  </si>
  <si>
    <t>23826235-6</t>
  </si>
  <si>
    <t>LEON SOTO CRISTOFER ROBERTO</t>
  </si>
  <si>
    <t>23813599-0</t>
  </si>
  <si>
    <t>05-12.2011</t>
  </si>
  <si>
    <t>VARELA MILLAPI BENJAMIN YAIR IGNACIO</t>
  </si>
  <si>
    <t>23892722-6</t>
  </si>
  <si>
    <t xml:space="preserve">ARAVENA CONTRERAS CRISTOBAL MAURICIO </t>
  </si>
  <si>
    <t>23909535-6</t>
  </si>
  <si>
    <t>CORDOVA ANDRADE ELIAS ESTEBAN</t>
  </si>
  <si>
    <t>23851114-3</t>
  </si>
  <si>
    <t>ROSALES AMIGO DIEGO EMILIO ANDRES</t>
  </si>
  <si>
    <t>23896029-0</t>
  </si>
  <si>
    <t xml:space="preserve">GARRIDO MOLINA FELIPE MAXIMILIANO </t>
  </si>
  <si>
    <t>23856506-5</t>
  </si>
  <si>
    <t xml:space="preserve">LARA PEREZ BENJAMIN MAXIMILIANO </t>
  </si>
  <si>
    <t>23905527-3</t>
  </si>
  <si>
    <t>CASTRO HORMAZABAL CRISTOBAL MAXIMILIANO</t>
  </si>
  <si>
    <t>23842781-9</t>
  </si>
  <si>
    <t>PACHECO ROJAS IGNACIO ANDRES</t>
  </si>
  <si>
    <t>23945320-1</t>
  </si>
  <si>
    <t>ROJAS MORALES BENJAMIN</t>
  </si>
  <si>
    <t>23685591-0</t>
  </si>
  <si>
    <t>CANCINO VELIZ GASPAR ALEJANDRO</t>
  </si>
  <si>
    <t>23654623-3</t>
  </si>
  <si>
    <t>HORMAZABAL VARGAS MAXIMO VALENTE</t>
  </si>
  <si>
    <t>22727017-9</t>
  </si>
  <si>
    <t>MORALES PINO ESTEBAN ALEJANDRO</t>
  </si>
  <si>
    <t>23363612-6</t>
  </si>
  <si>
    <t>FIGUEROA ACEVEDO FRANCISCO NICOLAS</t>
  </si>
  <si>
    <t>23909498-8</t>
  </si>
  <si>
    <t>GONZALEZ DUMONT FELIPE IGNACIO</t>
  </si>
  <si>
    <t>23893419-2</t>
  </si>
  <si>
    <t xml:space="preserve">NUÑEZ FLORES JORDAN ALEJANDRO </t>
  </si>
  <si>
    <t>23670080-1</t>
  </si>
  <si>
    <t>GUAJARDO HENRIQUEZ DAMIAN MOISES</t>
  </si>
  <si>
    <t>23766843-K</t>
  </si>
  <si>
    <t xml:space="preserve">GOMEZ MUÑOZ KEVIN GAEL </t>
  </si>
  <si>
    <t>23849717-5</t>
  </si>
  <si>
    <t>RAMOS ROJAS JOSE PEDRO</t>
  </si>
  <si>
    <t>23983035-8</t>
  </si>
  <si>
    <t>PAREDES FIGUEROA ANTONY ALEXANDRE</t>
  </si>
  <si>
    <t>23654136-3</t>
  </si>
  <si>
    <t>23618581-8</t>
  </si>
  <si>
    <t>TRONCOSO MENDEZ DOUGLAS JAVIER</t>
  </si>
  <si>
    <t>BUSTAMANTE REYES EMILIANO NICOLAS</t>
  </si>
  <si>
    <t>23726978-0</t>
  </si>
  <si>
    <t>QUILAN SEPULVEDA JAIR IGNACIO</t>
  </si>
  <si>
    <t>23764328-3</t>
  </si>
  <si>
    <t>LOPEZ GONZALEZ ISAIAS BERNABE</t>
  </si>
  <si>
    <t>23826698-K</t>
  </si>
  <si>
    <t>BARRIOS GOMEZ LUIS ANTONIO</t>
  </si>
  <si>
    <t>23582210-5</t>
  </si>
  <si>
    <t>ROJAS SILVA JOSE CRISTOBAL AGUSTIN</t>
  </si>
  <si>
    <t>23668845-3</t>
  </si>
  <si>
    <t>MATUS MAGUIÑA ANGEL MATIAS</t>
  </si>
  <si>
    <t>23808243-9</t>
  </si>
  <si>
    <t>PONCE FUENTES DILAN ALFONSO ALEXCI</t>
  </si>
  <si>
    <t>23560218-0</t>
  </si>
  <si>
    <t>SEPULVEDA ROJAS JOSUE</t>
  </si>
  <si>
    <t>23811742-9</t>
  </si>
  <si>
    <t>MORALES RETAMAL MAXIMILIANO ALONSO</t>
  </si>
  <si>
    <t>23752131-5</t>
  </si>
  <si>
    <t>FIERRO BRAVO TOMAS IGNACIO</t>
  </si>
  <si>
    <t>23812389-5</t>
  </si>
  <si>
    <t>ARANGUIZ FUENZALIDA JOAQUIN RAFAEL</t>
  </si>
  <si>
    <t>23881325-5</t>
  </si>
  <si>
    <t>CACERES ROJAS LUKAS VALENTIN</t>
  </si>
  <si>
    <t>23664852-4</t>
  </si>
  <si>
    <t>GONZALEZ VASQUEZ VICENTE IGNACIO</t>
  </si>
  <si>
    <t>23479911-8</t>
  </si>
  <si>
    <t>ROSAS CASTRO MATEO AGUSTIN</t>
  </si>
  <si>
    <t>23637730-K</t>
  </si>
  <si>
    <t>CASTRO MUÑOZ LUIS ANGEL</t>
  </si>
  <si>
    <t>23902464-5</t>
  </si>
  <si>
    <t>FERRADA BARAHONA ETHAN CRISTOBAL</t>
  </si>
  <si>
    <t>23907989-K</t>
  </si>
  <si>
    <t>SAN MARTIN RUDOLPH EMILIANO ALONSO</t>
  </si>
  <si>
    <t>23757760-4</t>
  </si>
  <si>
    <t>CORDOVA YAÑEZ LEANDRO JESUS</t>
  </si>
  <si>
    <t>23776046-8</t>
  </si>
  <si>
    <t>GARRIDO ZUÑIGA MAX ALEJANDRO</t>
  </si>
  <si>
    <t>23776122-7</t>
  </si>
  <si>
    <t>OLAVE ROJAS MATIAS IGNACIO</t>
  </si>
  <si>
    <t>23885585-3</t>
  </si>
  <si>
    <t>SEPULVEDA CARRASCO DIEGO ALBERTO</t>
  </si>
  <si>
    <t>23704400-2</t>
  </si>
  <si>
    <t>23884375-8</t>
  </si>
  <si>
    <t>PINO MALDONADO EMILIANO ANDRES</t>
  </si>
  <si>
    <t>23857154-5</t>
  </si>
  <si>
    <t>MORALES ESPINOZA LUKAS OSVALDO</t>
  </si>
  <si>
    <t>23806597-6</t>
  </si>
  <si>
    <t>GONZALEZ GONZALEZ CRISTOBAL ALEXANDER</t>
  </si>
  <si>
    <t>23640613-K</t>
  </si>
  <si>
    <t>CACERES IBACACHE DARIO IGNACIO</t>
  </si>
  <si>
    <t>23638364-4</t>
  </si>
  <si>
    <t>MUÑOZ FUENTES ALONSO ESTEBAN</t>
  </si>
  <si>
    <t>23919440-0</t>
  </si>
  <si>
    <t>GONZALEZ SAEZ MAXIMO NICOLAS</t>
  </si>
  <si>
    <t>23850751-0</t>
  </si>
  <si>
    <t>CASTRO PAZ DIEGO IGNACIO</t>
  </si>
  <si>
    <t>23723867-2</t>
  </si>
  <si>
    <t>MATURANA RETAMAL MARTIN IGNACIO</t>
  </si>
  <si>
    <t>23773601-K</t>
  </si>
  <si>
    <t>GELVIZ PERDOMO EMILIO ALEJANDRO</t>
  </si>
  <si>
    <t>27948668-4</t>
  </si>
  <si>
    <t>MENDOZA DOMINGUEZ SEBASTIAN ANTONIO</t>
  </si>
  <si>
    <t>23829289-1</t>
  </si>
  <si>
    <t>OKUINGHTTONS SANCHEZ TOMAS ANTONIO</t>
  </si>
  <si>
    <t>23754576-1</t>
  </si>
  <si>
    <t>SALAS IBARRA JOSE LUIS ALEXANDER</t>
  </si>
  <si>
    <t xml:space="preserve">FRIZ AMIGO ISAIAS LEONARDO </t>
  </si>
  <si>
    <t>23652568-6</t>
  </si>
  <si>
    <t xml:space="preserve">ARREDONDO VALDES JOSE CARLOS </t>
  </si>
  <si>
    <t>23695399-8</t>
  </si>
  <si>
    <t>MORALES FUENTES MAURICIO FELIPE</t>
  </si>
  <si>
    <t>23682595-7</t>
  </si>
  <si>
    <t>CACERES ZAPATA ALAN EDUARDO</t>
  </si>
  <si>
    <t>23912840-8</t>
  </si>
  <si>
    <t>VALENZUELA CARRASCO ANDREW MORGAN</t>
  </si>
  <si>
    <t>23888752-6</t>
  </si>
  <si>
    <t>FLORES GONZALEZ JOAQUIN ANTONIO</t>
  </si>
  <si>
    <t>23849124-K</t>
  </si>
  <si>
    <t>23664546-0</t>
  </si>
  <si>
    <t>ECHEVERRIA CASTRO FELIPE ALONSO</t>
  </si>
  <si>
    <t>SALAZAR TRONCOSO ALEJANDRO ANTONIO</t>
  </si>
  <si>
    <t>23446127-3</t>
  </si>
  <si>
    <t>BARRIOS GONZALEZ BORIS GASPAR</t>
  </si>
  <si>
    <t>23823924-9</t>
  </si>
  <si>
    <t xml:space="preserve">PACHECO MORENO BENJAMIN IGNACIO </t>
  </si>
  <si>
    <t>23699745-6</t>
  </si>
  <si>
    <t>ARAVENA ALBORNOZ MATIAS ARIEL</t>
  </si>
  <si>
    <t>23917554-6</t>
  </si>
  <si>
    <t>LABARCA ROZAS IVAN JOSE</t>
  </si>
  <si>
    <t>23835171-5</t>
  </si>
  <si>
    <t>SALAS MARTINEZ BASTIAN ALEJANDRO</t>
  </si>
  <si>
    <t>23805865-1</t>
  </si>
  <si>
    <t>BUSTOS MARCHANT AARON MATIAS</t>
  </si>
  <si>
    <t>23864202-7</t>
  </si>
  <si>
    <t>MIRANDA ESPINOZA MATIAS IGNACIO</t>
  </si>
  <si>
    <t>23650483-2</t>
  </si>
  <si>
    <t>ALVAREZ BAEZA YERAL ANTONIO</t>
  </si>
  <si>
    <t>23819627-2</t>
  </si>
  <si>
    <t>GUTIERREZ BRAVO ALEXIS ANDRES</t>
  </si>
  <si>
    <t>23682474-8</t>
  </si>
  <si>
    <t>FLORES VALDIVIA ESTEBAN MANUEL</t>
  </si>
  <si>
    <t>23671881-6</t>
  </si>
  <si>
    <t>23882524-5</t>
  </si>
  <si>
    <t>AVILA SILVA MARTIN ANDRES</t>
  </si>
  <si>
    <t>23813412-9</t>
  </si>
  <si>
    <t>ORTEGA DIAZ JAVIER ALEXIS</t>
  </si>
  <si>
    <t>23761622-7</t>
  </si>
  <si>
    <t>VALENZUELA CRUZ EMILIO ALBERTO</t>
  </si>
  <si>
    <t>23838403-6</t>
  </si>
  <si>
    <t>RODRIGUEZ LOPEZ MARTIN IGNACIO</t>
  </si>
  <si>
    <t>23728078-4</t>
  </si>
  <si>
    <t>ROJAS CANCINO MARTIN ALEXIS</t>
  </si>
  <si>
    <t>23884517-3</t>
  </si>
  <si>
    <t>VALDES ROJAS ISAIAS FRANCISCO</t>
  </si>
  <si>
    <t>23693281-8</t>
  </si>
  <si>
    <t>ROJAS REBOLLEDO NICOLAS ALFREDO</t>
  </si>
  <si>
    <t>23675943-1</t>
  </si>
  <si>
    <t>VALDES MORALES SEBASTIAN IGNACIO</t>
  </si>
  <si>
    <t>23978302-3</t>
  </si>
  <si>
    <t>BERRIOS BOBADILLA NICOLAS SEBASTIAN</t>
  </si>
  <si>
    <t>23853996-K</t>
  </si>
  <si>
    <t>MORAN VERGARA GUILLERMO ISRAEL</t>
  </si>
  <si>
    <t>23875882-3</t>
  </si>
  <si>
    <t>TAPIA RAMIREZ FELIPE BENJAMIN</t>
  </si>
  <si>
    <t>23646645-0</t>
  </si>
  <si>
    <t>SAZO VENEGAS LUIS MANUEL</t>
  </si>
  <si>
    <t>23802963-5</t>
  </si>
  <si>
    <t>ORTIZ OPAZO ALONSO PATRICIO</t>
  </si>
  <si>
    <t>23850340-K</t>
  </si>
  <si>
    <t>GAJARDO NUÑEZ EDUARD ANTONIO</t>
  </si>
  <si>
    <t>23909095-8</t>
  </si>
  <si>
    <t>CHAVEZ MANO ANDRE LUIS</t>
  </si>
  <si>
    <t>25321407-4</t>
  </si>
  <si>
    <t>REBOLLEDO SEPULVEDA NICOLAS EMILIO</t>
  </si>
  <si>
    <t>23698003-0</t>
  </si>
  <si>
    <t>FAUNDEZ ROJAS THOMAS BENJAMIN</t>
  </si>
  <si>
    <t>23688354-K</t>
  </si>
  <si>
    <t>CORTES SANHUEZA SAMUEL JESUS</t>
  </si>
  <si>
    <t>23692773-3</t>
  </si>
  <si>
    <t>DIAZ MEDINA MATIAS ALEXIS</t>
  </si>
  <si>
    <t>23922281-1</t>
  </si>
  <si>
    <t>GOMEZ VARAS JOAQUIN ALEJANDRO</t>
  </si>
  <si>
    <t>23789432-4</t>
  </si>
  <si>
    <t>TORO VERGARA LUIS ALEXIS</t>
  </si>
  <si>
    <t>23948926-5</t>
  </si>
  <si>
    <t>MEJIA DURAN ARGENIS DAVID</t>
  </si>
  <si>
    <t>28813562-2</t>
  </si>
  <si>
    <t>PEREZ CACERES SIMON ALONSO</t>
  </si>
  <si>
    <t>23656567-K</t>
  </si>
  <si>
    <t>GONZALEZ PEREZ JOAKIN ESTEBAN</t>
  </si>
  <si>
    <t>23765514-1</t>
  </si>
  <si>
    <t>MONTESINO ABACA ELIZARDO TOMAS ANTONIO</t>
  </si>
  <si>
    <t>23739208-6</t>
  </si>
  <si>
    <t>CACERES SANZANA DANTHE CRISTOBAL LUIS</t>
  </si>
  <si>
    <t>23662995-3</t>
  </si>
  <si>
    <t>GONZALEZ HERNANDEZ JAVIER IGNACIO</t>
  </si>
  <si>
    <t>23732758-6</t>
  </si>
  <si>
    <t>RUZ SANTOS JESUS DAVID</t>
  </si>
  <si>
    <t>23537207-K</t>
  </si>
  <si>
    <t>DUARTE MATUS JAVIER ALONSO</t>
  </si>
  <si>
    <t>23550225-9</t>
  </si>
  <si>
    <t>ROJAS JARA JOSE TOMAS</t>
  </si>
  <si>
    <t>23883222-5</t>
  </si>
  <si>
    <t>ÑIRIPIL ARANEDA FRANCISCO JAVIER</t>
  </si>
  <si>
    <t>23880560-0</t>
  </si>
  <si>
    <t>23876806-3</t>
  </si>
  <si>
    <t>JORQUERA CANALES AGUSTIN PATRICIO</t>
  </si>
  <si>
    <t>23626707-5</t>
  </si>
  <si>
    <t>FERNANDEZ MUÑOZ GASPAR MAURICIO</t>
  </si>
  <si>
    <t>DIAZ GONZALEZ JOSE AMARO</t>
  </si>
  <si>
    <t>23903116-1</t>
  </si>
  <si>
    <t>SILVA CACERES LUKAS ZAETIEL</t>
  </si>
  <si>
    <t>23937172-8</t>
  </si>
  <si>
    <t>SILVA CACERES IGNACIO AMARO</t>
  </si>
  <si>
    <t>23399258-5</t>
  </si>
  <si>
    <t>LUNA LUNA RUBEN IGNACIO</t>
  </si>
  <si>
    <t>23983381-0</t>
  </si>
  <si>
    <t>LOPEZ OLIVARES BASTHIAN ALEXIZ</t>
  </si>
  <si>
    <t>23800137-4</t>
  </si>
  <si>
    <t>GONZALEZ NAVARRETE ALEJANDRO JAVIER</t>
  </si>
  <si>
    <t>23638166-8</t>
  </si>
  <si>
    <t>GONZALEZ LILLO GABRIEL EDUARDO</t>
  </si>
  <si>
    <t>23725699-9</t>
  </si>
  <si>
    <t>GARCIA ELGART JAVIER ALONSO</t>
  </si>
  <si>
    <t>23681575-7</t>
  </si>
  <si>
    <t>GALLEGUILLOS MENESES GASPAR PEDRO</t>
  </si>
  <si>
    <t>23904229-5</t>
  </si>
  <si>
    <t>CANALES AEDO HERIBERTO ANTONIO</t>
  </si>
  <si>
    <t>23503987-7</t>
  </si>
  <si>
    <t>TRONCOSO FUENTES MARTIN ALONSO</t>
  </si>
  <si>
    <t>23395837-9</t>
  </si>
  <si>
    <t>VALENZUELA IBARRA IAN RENATO</t>
  </si>
  <si>
    <t>MARDONES TORRES AGUSTIN SEBASTIAN</t>
  </si>
  <si>
    <t>23631805-2</t>
  </si>
  <si>
    <t>TORRES SALINAS THOMAS ALEJANDRO</t>
  </si>
  <si>
    <t>23747301-9</t>
  </si>
  <si>
    <t>RIVEROS PARRA LUIS MAXIMILIANO</t>
  </si>
  <si>
    <t>23830007-K</t>
  </si>
  <si>
    <t>ANDAUR REY PIERO ALONSO</t>
  </si>
  <si>
    <t>23803596-1</t>
  </si>
  <si>
    <t>MEDINA REYES LUCAS IGNACIO</t>
  </si>
  <si>
    <t>23939973-8</t>
  </si>
  <si>
    <t>BECERRA REVECO JULIAN ANDRES</t>
  </si>
  <si>
    <t>23684760-8</t>
  </si>
  <si>
    <t>LOPEZ SEPULVEDA SEBASTIAN AGUSTIN</t>
  </si>
  <si>
    <t>23875453-4</t>
  </si>
  <si>
    <t>CARRILLO ESCALONA YEISON ITALO</t>
  </si>
  <si>
    <t>23687605-5</t>
  </si>
  <si>
    <t>NUÑEZ ALBORNOZ SIMON AGUSTIN</t>
  </si>
  <si>
    <t>23837413-8</t>
  </si>
  <si>
    <t>VASQUEZ ESCOBAR DAVID BASTIAN</t>
  </si>
  <si>
    <t>23807463-0</t>
  </si>
  <si>
    <t>ROJAS CANCINO ALONSO CRISTOBAL</t>
  </si>
  <si>
    <t>23657263-3</t>
  </si>
  <si>
    <t>ORELLANA GONZALEZ SEBASTIAN FRANCISCO</t>
  </si>
  <si>
    <t>23934804-1</t>
  </si>
  <si>
    <t>LARA ROJAS MARCELO IVAN</t>
  </si>
  <si>
    <t>23819928-K</t>
  </si>
  <si>
    <t>HIDALGO CHANDIA TOMAS VICENTE</t>
  </si>
  <si>
    <t>23650944-3</t>
  </si>
  <si>
    <t>ESPINOZA SALINAS GUILLERMO ALONSO</t>
  </si>
  <si>
    <t>23889434-4</t>
  </si>
  <si>
    <t>CID CANALES MARTIN THOMAS FRANCISCO</t>
  </si>
  <si>
    <t>23778732-3</t>
  </si>
  <si>
    <t>23800751-8</t>
  </si>
  <si>
    <t>TORRES VILLAR AGUSTIN ANTONIO</t>
  </si>
  <si>
    <t>23982845-0</t>
  </si>
  <si>
    <t>VEGA PARADA SAMIEL TRISTAN ALEXANDER</t>
  </si>
  <si>
    <t>23789964-4</t>
  </si>
  <si>
    <t>SALAZAR QUIROZ ALEX JAMPIER ANTONIO</t>
  </si>
  <si>
    <t>23860852-K</t>
  </si>
  <si>
    <t>RIQUELME NAVARRO AGUSTIN IGNACIO</t>
  </si>
  <si>
    <t>OLIVA CONTRERAS MANUEL GUMERCINDO</t>
  </si>
  <si>
    <t>23636458-5</t>
  </si>
  <si>
    <t>GONZALEZ POBLETE MARTIN EMILIO</t>
  </si>
  <si>
    <t>23880738-7</t>
  </si>
  <si>
    <t>GARRIDO CAMPOS SEBASTIAN IGNACIO</t>
  </si>
  <si>
    <t>23631197-K</t>
  </si>
  <si>
    <t>GALDAMES HENRIQUEZ GILLERMO RENATO</t>
  </si>
  <si>
    <t>23653915-6</t>
  </si>
  <si>
    <t>23846417-K</t>
  </si>
  <si>
    <t>NUÑEZ VASQUEZ GASPAR ALONSO</t>
  </si>
  <si>
    <t>HUENUCHE AVACA VICENTE ALIKURA</t>
  </si>
  <si>
    <t xml:space="preserve">DIAZ ROA CRISTOBAL EMILIO </t>
  </si>
  <si>
    <t>FUENTES MORAGA MATIAS ANTONIO</t>
  </si>
  <si>
    <t>23619199-0</t>
  </si>
  <si>
    <t>ALDANA CABALLERO IAN MATIAS ALEXANDER</t>
  </si>
  <si>
    <t>23708329-6</t>
  </si>
  <si>
    <t>ALEGRIA ALEGRIA DYLAN DE JESUS ENRIQUE</t>
  </si>
  <si>
    <t>23400064-0</t>
  </si>
  <si>
    <t>ALISTE BUSTOS CRISTOBAL ANTONIO</t>
  </si>
  <si>
    <t>23795327-4</t>
  </si>
  <si>
    <t>ANDRADE BECERRA DIEGO FRANCHESCOLLI</t>
  </si>
  <si>
    <t>23682291-5</t>
  </si>
  <si>
    <t>ARAVENA MORALES VICENTE ANTONIO</t>
  </si>
  <si>
    <t>23710875-2</t>
  </si>
  <si>
    <t>AVENDAÑO ROJAS MATHIAS DONNOVAN</t>
  </si>
  <si>
    <t>23984460-K</t>
  </si>
  <si>
    <t>BAHAMONDES BRAVO JOSE MIGUEL DE JESUS</t>
  </si>
  <si>
    <t>23958854-9</t>
  </si>
  <si>
    <t>URBINA INOSTROZA CRISTIAN IGNACIO</t>
  </si>
  <si>
    <t>ALBORNOZ GONZALEZ HECTOR SEBASTIAN ANDRES</t>
  </si>
  <si>
    <t>23096571-4</t>
  </si>
  <si>
    <t>BARRERA GUTIERREZ FRANCISCO ANTONIO</t>
  </si>
  <si>
    <t>23370660-4</t>
  </si>
  <si>
    <t>BRAVO NAVARRETE DAVID ANTONIO</t>
  </si>
  <si>
    <t>23724351-K</t>
  </si>
  <si>
    <t xml:space="preserve">CORREA SILVA JOSE JULIAN </t>
  </si>
  <si>
    <t>23650315-1</t>
  </si>
  <si>
    <t>FUENTES VALENZUELA ALEXANDER ANDRES</t>
  </si>
  <si>
    <t>23682526-4</t>
  </si>
  <si>
    <t>GARCIA PADILLA MATEO GASPAR</t>
  </si>
  <si>
    <t>23694040-3</t>
  </si>
  <si>
    <t>23915038-1</t>
  </si>
  <si>
    <t>GONZALEZ MORALES CRISTOBAL FELIPE</t>
  </si>
  <si>
    <t>23954610-2</t>
  </si>
  <si>
    <t>GRANDI VALENZUELA MATIAS ALEXANDER</t>
  </si>
  <si>
    <t>23849060-K</t>
  </si>
  <si>
    <t>HERNANDEZ GONZALEZ AGUSTIN ARSENIO</t>
  </si>
  <si>
    <t>23912911-0</t>
  </si>
  <si>
    <t>HORMAZABAL SAN MARTIN BASTIAN ALEJANDRO</t>
  </si>
  <si>
    <t>23680908-0</t>
  </si>
  <si>
    <t>LARA AYALA ALDAIR ALEXIS</t>
  </si>
  <si>
    <t>23821805-5</t>
  </si>
  <si>
    <t>23943553-K</t>
  </si>
  <si>
    <t>MARSIGLIA RIVAS EDUARDO ALBERTO</t>
  </si>
  <si>
    <t>25747864-5</t>
  </si>
  <si>
    <t>MERINO GONZALEZ TOMAS ALONSO</t>
  </si>
  <si>
    <t>23727969-7</t>
  </si>
  <si>
    <t>MORALES MORALES BASTIAN ALONSO</t>
  </si>
  <si>
    <t>23905692-K</t>
  </si>
  <si>
    <t>MOYA HERRERA BRAK ELIOT</t>
  </si>
  <si>
    <t>23731825-0</t>
  </si>
  <si>
    <t>MOYA VALDES GASPAR ANTONIO</t>
  </si>
  <si>
    <t>23694273-2</t>
  </si>
  <si>
    <t xml:space="preserve">MUÑOZ RETAMAL MAXIMILIANO SEBASTIAN </t>
  </si>
  <si>
    <t>23786196-5</t>
  </si>
  <si>
    <t>PAZ BURGOS ENZO MARTIN</t>
  </si>
  <si>
    <t>23737057-0</t>
  </si>
  <si>
    <t>PEÑAILILLO ARAVENA JORGE IVAN</t>
  </si>
  <si>
    <t>23778756-0</t>
  </si>
  <si>
    <t>PIZARRO OSORES PABLO EDUARDO</t>
  </si>
  <si>
    <t>23909117-2</t>
  </si>
  <si>
    <t>QUIJON QUIJON FRANCISCO ANDRES</t>
  </si>
  <si>
    <t>23922328-1</t>
  </si>
  <si>
    <t>ROJAS CANCINO JOAQUIN IGNACIO</t>
  </si>
  <si>
    <t>23884503-3</t>
  </si>
  <si>
    <t>ROJAS MOLINA CRISTOBAL ANDRES</t>
  </si>
  <si>
    <t>23837844-3</t>
  </si>
  <si>
    <t>SANCHEZ VERDUGO BASTIAN ALEJANDRO</t>
  </si>
  <si>
    <t>23728282-5</t>
  </si>
  <si>
    <t>SOTO LAGOS GERMAN ALFREDO</t>
  </si>
  <si>
    <t>23910882-2</t>
  </si>
  <si>
    <t>VALDES MORA JORDAN FERNANDO EZEQUIEL</t>
  </si>
  <si>
    <t>23781752-4</t>
  </si>
  <si>
    <t>VILLARROEL ORTEGA ISAAC ISMAEL</t>
  </si>
  <si>
    <t>23765253-3</t>
  </si>
  <si>
    <t>VIRGUEZ LARA SANTIAGO MIGUEL</t>
  </si>
  <si>
    <t>28682764-0</t>
  </si>
  <si>
    <t>YAÑEZ DIAZ VICTOR EMANUEL</t>
  </si>
  <si>
    <t>23636204-3</t>
  </si>
  <si>
    <t>VENEGAS NAVARRETE MARTIN ALEXIS</t>
  </si>
  <si>
    <t>23924889-6</t>
  </si>
  <si>
    <t>VALENZUELA GARCIA CRISTOBAL ALEXIS</t>
  </si>
  <si>
    <t>23722429-9</t>
  </si>
  <si>
    <t>MEJIAS MARTINEZ DUGLAS YONAYKER</t>
  </si>
  <si>
    <t>100808867-1</t>
  </si>
  <si>
    <t>GONZALEZ ARELLANO ALEXANDER IGNACIO</t>
  </si>
  <si>
    <t>23905257-6</t>
  </si>
  <si>
    <t>BRUNEL CASTILLO AGUSTIN TOMAS</t>
  </si>
  <si>
    <t>23605686-4</t>
  </si>
  <si>
    <t>23744958-4</t>
  </si>
  <si>
    <t>23734396-4</t>
  </si>
  <si>
    <t>23621334-K</t>
  </si>
  <si>
    <t>FARIAS HERNANDEZ VICENTE MAXIMILIANO</t>
  </si>
  <si>
    <t>23886163-2</t>
  </si>
  <si>
    <t>CARRILLO AVENDAÑO JUAN ANDRES</t>
  </si>
  <si>
    <t>23596290-K</t>
  </si>
  <si>
    <t>QUITRAL GONZALEZ AGUSTIN ANTONIO</t>
  </si>
  <si>
    <t>23851602-1</t>
  </si>
  <si>
    <t>CASANOVA RETAMAL GASPAR MÁXIMO LEÓN</t>
  </si>
  <si>
    <t>BUSTAMANTE RAMOS DIEGO ALONSO</t>
  </si>
  <si>
    <t>23758304-3</t>
  </si>
  <si>
    <t>HERNANDEZ RODRIGUEZ FELIPE ANTONIO</t>
  </si>
  <si>
    <t>23775897-8</t>
  </si>
  <si>
    <t>BARROS GUALA SEBASTIAN ANDRES</t>
  </si>
  <si>
    <t>23237932-4</t>
  </si>
  <si>
    <t>8°A HC</t>
  </si>
  <si>
    <t>8°B HC</t>
  </si>
  <si>
    <t>RAMIREZ CABRERA ISAAC AMIR</t>
  </si>
  <si>
    <t>23849045-6</t>
  </si>
  <si>
    <t>VALENZUELA VALENCIA JOAQUIN RAYMUNDO</t>
  </si>
  <si>
    <t>23678347-2</t>
  </si>
  <si>
    <t>VASQUEZ VALLEJOS VICENTE ALEJANDRO</t>
  </si>
  <si>
    <t>23664503-7</t>
  </si>
  <si>
    <t>INFANTE AVILA FELIPE ALBERTO</t>
  </si>
  <si>
    <t>23911940-9</t>
  </si>
  <si>
    <t>TORRES SALAZAR VICENTE AGUSTIN</t>
  </si>
  <si>
    <t>23752375-K</t>
  </si>
  <si>
    <t>BELLO VERGARA DUSTIN PHILIPPE</t>
  </si>
  <si>
    <t>23801652-5</t>
  </si>
  <si>
    <t>CHARTIER CRUZAT ADOLF MÁXIMO</t>
  </si>
  <si>
    <t>23810224-3</t>
  </si>
  <si>
    <t>GUTIERREZ LOPEZ AGUSTIN TOMAS</t>
  </si>
  <si>
    <t>23748223-9</t>
  </si>
  <si>
    <t>ALVARES ÁLVAREZ MATIAS ANTONIO</t>
  </si>
  <si>
    <t>CURSO:  2º  AÑO "B"                        2026</t>
  </si>
  <si>
    <t>CURSO:  2º  AÑO "C"                        2026</t>
  </si>
  <si>
    <t>CURSO:  2º  AÑO "D"                        2026</t>
  </si>
  <si>
    <t>CURSO:  2º  AÑO "E"                        2026</t>
  </si>
  <si>
    <t>GONZALEZ FARÍAS SEBASTIAN ARTURO</t>
  </si>
  <si>
    <t>CONTRERAS REBOLLEDO KEVIN ALFONSO</t>
  </si>
  <si>
    <t>23674184-2</t>
  </si>
  <si>
    <t>GARBOZA CHEREMO KEIBER ALEXANDER</t>
  </si>
  <si>
    <t>100594952-8</t>
  </si>
  <si>
    <t>23370069-6</t>
  </si>
  <si>
    <t>QUINTEROS AMIGO JULIAN ALEJANDRO</t>
  </si>
  <si>
    <t>10/0972009</t>
  </si>
  <si>
    <t>MARIN SANTANDER GABRIEL ALEXANDER</t>
  </si>
  <si>
    <t>23506999-7</t>
  </si>
  <si>
    <t>BUSTAMANTE PARRA RENATO CRISTIANO IGNACIO</t>
  </si>
  <si>
    <t>DIAZ FLORES MATÍAS ANDRÉS</t>
  </si>
  <si>
    <t>LOYOLA MONTECINO SANTIAGO ESTEBAN</t>
  </si>
  <si>
    <t>GONZALEZ LOPEZ GASPAR VICENTE</t>
  </si>
  <si>
    <t>23361069-0</t>
  </si>
  <si>
    <t>VIERA JAQUE NICOLAS MAXIMO</t>
  </si>
  <si>
    <t>23402960-6</t>
  </si>
  <si>
    <t>GONZALEZ GONZALEZ VICTOR MARCELO</t>
  </si>
  <si>
    <t>23364500-1</t>
  </si>
  <si>
    <t>MUÑOZ JOFRE AGUSTIN ALONSO</t>
  </si>
  <si>
    <t>23586044-9</t>
  </si>
  <si>
    <t>CABRERA FOX SEBASTIAN NICOLAS</t>
  </si>
  <si>
    <t>23485769-K</t>
  </si>
  <si>
    <t>MENDEZ LARA BASTIAN ANDRES</t>
  </si>
  <si>
    <t>23079747-1</t>
  </si>
  <si>
    <t>MARTINEZ TAPIA MATEO EMILIANO</t>
  </si>
  <si>
    <t>28292174-K</t>
  </si>
  <si>
    <t>ARMIJO HERMOSILLA PABLO ALONSO</t>
  </si>
  <si>
    <t>23074886-1</t>
  </si>
  <si>
    <t>CRUZ SUAREZ BENJAMIN ANDRES</t>
  </si>
  <si>
    <t>23597743-5</t>
  </si>
  <si>
    <t>REPITE 1°E</t>
  </si>
  <si>
    <t>REPITE 1°B</t>
  </si>
  <si>
    <t>REPITE 3°D</t>
  </si>
  <si>
    <t>PROFESOR JEFE: NICOLÁS ULLOA RAVELLO</t>
  </si>
  <si>
    <t>PROFESOR JEFE: OSVALDO DIAZ GONZÁLEZ</t>
  </si>
  <si>
    <t>PROFESOR JEFE: BELARMINO GUERRERO LEIVA</t>
  </si>
  <si>
    <t>PROFESOR JEFE: GABRIEL CASTRO ALARCON</t>
  </si>
  <si>
    <t>PROFESOR JEFE: FRANCISCO SEPÚLVEDA HUERTA</t>
  </si>
  <si>
    <t>PROFESOR JEFE: FRANCISCA NÚÑEZ OLIVERO</t>
  </si>
  <si>
    <t>PROFESOR JEFE: GONZALO PERALTA CASANOVA</t>
  </si>
  <si>
    <t>PROFESOR JEFE: YEISON CASTRO ROJAS</t>
  </si>
  <si>
    <t>PROFESOR JEFE: CRISTIAN SILVA GAETE</t>
  </si>
  <si>
    <t>PROFESOR JEFE: LUCAS OLAVE SEPULVEDA</t>
  </si>
  <si>
    <t>PROFESOR JEFE: REINALDO CASTRO CASTRO</t>
  </si>
  <si>
    <t>PROFESOR JEFE: EDUARDO YAÑEZ JARA</t>
  </si>
  <si>
    <t>MUÑOZ CARREÑO AGUSTIN ANDRES ERNAN</t>
  </si>
  <si>
    <t>RIOS LLANCAPANI ERICK BASTIAN</t>
  </si>
  <si>
    <t>23262268-7</t>
  </si>
  <si>
    <t>QUISPE VALDES RODOLFO FRANCISCO</t>
  </si>
  <si>
    <t>23442178-6</t>
  </si>
  <si>
    <t>06.01.2026</t>
  </si>
  <si>
    <t>NORAMBUENA ILABACA DAVID ALEJANDRO</t>
  </si>
  <si>
    <t>23360617-0</t>
  </si>
  <si>
    <t>ITURRA PINTO CHRISTIAN EDUARDO</t>
  </si>
  <si>
    <t>23622441-4</t>
  </si>
  <si>
    <t>SOTO ARAYA ESTEBAN SANJEL</t>
  </si>
  <si>
    <t>NUÑEZ URZUA FELIX ANTONIO</t>
  </si>
  <si>
    <t>23610327-7</t>
  </si>
  <si>
    <t>CARO TRONCOSO SEBASTIAN ALONSO</t>
  </si>
  <si>
    <t>23048490-2</t>
  </si>
  <si>
    <t>GARRIDO HERNANDEZ MAURICIO ESTEBAN</t>
  </si>
  <si>
    <t>22833934-2</t>
  </si>
  <si>
    <t>SEPULVEDA DIAZ ALEXIS ALEJANDRO</t>
  </si>
  <si>
    <t>GARRIDO VALENZUELA RICARDO HUMBERTO</t>
  </si>
  <si>
    <t>23297684-5</t>
  </si>
  <si>
    <t>27.02.2026</t>
  </si>
  <si>
    <t>LOYOLA CATALAN CRISTOBAL EDUARDO</t>
  </si>
  <si>
    <t>23537058-1</t>
  </si>
  <si>
    <t>02.03.2026</t>
  </si>
  <si>
    <t>GARRIDO URBINA JOAQUIN IGNACIO</t>
  </si>
  <si>
    <t>23332501-5</t>
  </si>
  <si>
    <t>MUÑOZ MORALES MARCO ANTONIO</t>
  </si>
  <si>
    <t>22834133-9</t>
  </si>
  <si>
    <t>MEDEL CACERES JOAQUIN ANTONIO</t>
  </si>
  <si>
    <t>23546230-3</t>
  </si>
  <si>
    <t>03.03.2026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</si>
</sst>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Inherit"/>
    </font>
    <font>
      <sz val="12"/>
      <color rgb="FF333333"/>
      <name val="Arial"/>
      <family val="2"/>
    </font>
    <font>
      <b/>
      <sz val="10"/>
      <color theme="1"/>
      <name val="Arial"/>
      <family val="2"/>
    </font>
    <font>
      <sz val="12"/>
      <color rgb="FFFF0000"/>
      <name val="Arial"/>
      <family val="2"/>
    </font>
    <font>
      <sz val="12"/>
      <color rgb="FF000000"/>
      <name val="Inherit"/>
    </font>
    <font>
      <sz val="12"/>
      <color rgb="FF000000"/>
      <name val="Arial"/>
      <family val="2"/>
    </font>
    <font>
      <sz val="9"/>
      <color rgb="FFFF0000"/>
      <name val="Arial"/>
      <family val="2"/>
    </font>
    <font>
      <b/>
      <sz val="11"/>
      <color theme="1"/>
      <name val="Arial"/>
      <family val="2"/>
    </font>
    <font>
      <b/>
      <sz val="20"/>
      <color theme="1"/>
      <name val="Arial"/>
      <family val="2"/>
    </font>
    <font>
      <b/>
      <sz val="12"/>
      <color theme="1"/>
      <name val="Arial"/>
      <family val="2"/>
    </font>
    <font>
      <sz val="8"/>
      <name val="Arial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333333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4" xfId="0" applyFont="1" applyBorder="1" applyAlignment="1">
      <alignment horizontal="center" vertical="center"/>
    </xf>
    <xf numFmtId="14" fontId="1" fillId="0" borderId="14" xfId="0" applyNumberFormat="1" applyFont="1" applyBorder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/>
    </xf>
    <xf numFmtId="14" fontId="7" fillId="0" borderId="22" xfId="0" applyNumberFormat="1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left" vertical="center" wrapText="1"/>
    </xf>
    <xf numFmtId="0" fontId="9" fillId="2" borderId="23" xfId="0" applyFont="1" applyFill="1" applyBorder="1" applyAlignment="1">
      <alignment horizontal="center" vertical="center"/>
    </xf>
    <xf numFmtId="14" fontId="5" fillId="2" borderId="23" xfId="0" applyNumberFormat="1" applyFont="1" applyFill="1" applyBorder="1" applyAlignment="1">
      <alignment horizontal="center" vertical="center"/>
    </xf>
    <xf numFmtId="14" fontId="7" fillId="2" borderId="24" xfId="0" applyNumberFormat="1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left" vertical="center" wrapText="1"/>
    </xf>
    <xf numFmtId="14" fontId="7" fillId="2" borderId="27" xfId="0" applyNumberFormat="1" applyFont="1" applyFill="1" applyBorder="1" applyAlignment="1">
      <alignment horizontal="center" vertical="center"/>
    </xf>
    <xf numFmtId="0" fontId="10" fillId="0" borderId="23" xfId="0" applyFont="1" applyBorder="1" applyAlignment="1">
      <alignment horizontal="left" vertical="center" wrapText="1"/>
    </xf>
    <xf numFmtId="49" fontId="1" fillId="2" borderId="26" xfId="0" applyNumberFormat="1" applyFont="1" applyFill="1" applyBorder="1" applyAlignment="1">
      <alignment horizontal="center" vertical="center"/>
    </xf>
    <xf numFmtId="14" fontId="1" fillId="2" borderId="26" xfId="0" applyNumberFormat="1" applyFont="1" applyFill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textRotation="90"/>
    </xf>
    <xf numFmtId="0" fontId="8" fillId="0" borderId="36" xfId="0" applyFont="1" applyBorder="1" applyAlignment="1">
      <alignment horizontal="center" vertical="center" textRotation="90" wrapText="1"/>
    </xf>
    <xf numFmtId="0" fontId="8" fillId="3" borderId="37" xfId="0" applyFont="1" applyFill="1" applyBorder="1" applyAlignment="1">
      <alignment horizontal="center" vertical="center" textRotation="90"/>
    </xf>
    <xf numFmtId="0" fontId="8" fillId="4" borderId="37" xfId="0" applyFont="1" applyFill="1" applyBorder="1" applyAlignment="1">
      <alignment horizontal="center" vertical="center" textRotation="90"/>
    </xf>
    <xf numFmtId="0" fontId="8" fillId="0" borderId="38" xfId="0" applyFont="1" applyBorder="1" applyAlignment="1">
      <alignment horizontal="center" vertical="center" textRotation="90" wrapText="1"/>
    </xf>
    <xf numFmtId="0" fontId="8" fillId="0" borderId="35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4" borderId="39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8" fillId="0" borderId="4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4" fillId="6" borderId="35" xfId="0" applyFont="1" applyFill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35" xfId="0" applyFont="1" applyBorder="1" applyAlignment="1">
      <alignment vertical="center"/>
    </xf>
    <xf numFmtId="14" fontId="13" fillId="0" borderId="35" xfId="0" applyNumberFormat="1" applyFont="1" applyBorder="1" applyAlignment="1">
      <alignment horizontal="center" vertical="center"/>
    </xf>
    <xf numFmtId="14" fontId="18" fillId="0" borderId="14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14" fontId="7" fillId="0" borderId="24" xfId="0" applyNumberFormat="1" applyFont="1" applyBorder="1" applyAlignment="1">
      <alignment horizontal="center" vertical="center"/>
    </xf>
    <xf numFmtId="14" fontId="7" fillId="0" borderId="42" xfId="0" applyNumberFormat="1" applyFont="1" applyBorder="1" applyAlignment="1">
      <alignment horizontal="center" vertical="center"/>
    </xf>
    <xf numFmtId="14" fontId="1" fillId="0" borderId="45" xfId="0" applyNumberFormat="1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14" fontId="1" fillId="0" borderId="50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14" fontId="1" fillId="0" borderId="24" xfId="0" applyNumberFormat="1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49" fontId="1" fillId="0" borderId="49" xfId="0" applyNumberFormat="1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49" fontId="1" fillId="0" borderId="54" xfId="0" applyNumberFormat="1" applyFont="1" applyBorder="1" applyAlignment="1">
      <alignment horizontal="center" vertical="center"/>
    </xf>
    <xf numFmtId="0" fontId="5" fillId="0" borderId="56" xfId="0" applyFont="1" applyBorder="1" applyAlignment="1">
      <alignment vertical="center"/>
    </xf>
    <xf numFmtId="14" fontId="7" fillId="0" borderId="57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14" fontId="1" fillId="0" borderId="56" xfId="0" applyNumberFormat="1" applyFont="1" applyBorder="1" applyAlignment="1">
      <alignment horizontal="center" vertical="center"/>
    </xf>
    <xf numFmtId="14" fontId="5" fillId="0" borderId="54" xfId="0" applyNumberFormat="1" applyFont="1" applyBorder="1" applyAlignment="1">
      <alignment horizontal="center" vertical="center"/>
    </xf>
    <xf numFmtId="0" fontId="6" fillId="0" borderId="56" xfId="0" applyFont="1" applyBorder="1" applyAlignment="1">
      <alignment horizontal="left" vertical="center" wrapText="1"/>
    </xf>
    <xf numFmtId="14" fontId="5" fillId="0" borderId="57" xfId="0" applyNumberFormat="1" applyFont="1" applyBorder="1" applyAlignment="1">
      <alignment horizontal="center" vertical="center"/>
    </xf>
    <xf numFmtId="14" fontId="19" fillId="0" borderId="57" xfId="0" applyNumberFormat="1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 wrapText="1"/>
    </xf>
    <xf numFmtId="14" fontId="19" fillId="0" borderId="54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49" fontId="1" fillId="0" borderId="52" xfId="0" applyNumberFormat="1" applyFont="1" applyBorder="1" applyAlignment="1">
      <alignment horizontal="center" vertical="center"/>
    </xf>
    <xf numFmtId="49" fontId="1" fillId="0" borderId="57" xfId="0" applyNumberFormat="1" applyFont="1" applyBorder="1" applyAlignment="1">
      <alignment horizontal="center" vertical="center"/>
    </xf>
    <xf numFmtId="0" fontId="8" fillId="0" borderId="58" xfId="0" applyFont="1" applyBorder="1" applyAlignment="1">
      <alignment horizontal="left" vertical="center"/>
    </xf>
    <xf numFmtId="0" fontId="1" fillId="0" borderId="61" xfId="0" applyFont="1" applyBorder="1" applyAlignment="1">
      <alignment horizontal="left" vertical="center"/>
    </xf>
    <xf numFmtId="0" fontId="1" fillId="0" borderId="62" xfId="0" applyFont="1" applyBorder="1" applyAlignment="1">
      <alignment horizontal="left" vertical="center"/>
    </xf>
    <xf numFmtId="14" fontId="7" fillId="0" borderId="44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4" fontId="18" fillId="0" borderId="27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14" fontId="7" fillId="0" borderId="66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14" fontId="7" fillId="0" borderId="49" xfId="0" applyNumberFormat="1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 wrapText="1"/>
    </xf>
    <xf numFmtId="14" fontId="1" fillId="0" borderId="68" xfId="0" applyNumberFormat="1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 wrapText="1"/>
    </xf>
    <xf numFmtId="49" fontId="1" fillId="0" borderId="45" xfId="0" applyNumberFormat="1" applyFont="1" applyBorder="1" applyAlignment="1">
      <alignment horizontal="center" vertical="center"/>
    </xf>
    <xf numFmtId="49" fontId="1" fillId="0" borderId="69" xfId="0" applyNumberFormat="1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14" fontId="7" fillId="0" borderId="71" xfId="0" applyNumberFormat="1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14" fontId="1" fillId="0" borderId="69" xfId="0" applyNumberFormat="1" applyFont="1" applyBorder="1" applyAlignment="1">
      <alignment horizontal="center" vertical="center"/>
    </xf>
    <xf numFmtId="49" fontId="1" fillId="2" borderId="73" xfId="0" applyNumberFormat="1" applyFont="1" applyFill="1" applyBorder="1" applyAlignment="1">
      <alignment horizontal="center" vertical="center"/>
    </xf>
    <xf numFmtId="14" fontId="1" fillId="0" borderId="73" xfId="0" applyNumberFormat="1" applyFont="1" applyBorder="1" applyAlignment="1">
      <alignment horizontal="center" vertical="center"/>
    </xf>
    <xf numFmtId="0" fontId="10" fillId="2" borderId="44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 wrapText="1"/>
    </xf>
    <xf numFmtId="14" fontId="7" fillId="2" borderId="70" xfId="0" applyNumberFormat="1" applyFont="1" applyFill="1" applyBorder="1" applyAlignment="1">
      <alignment horizontal="center" vertical="center"/>
    </xf>
    <xf numFmtId="14" fontId="7" fillId="2" borderId="77" xfId="0" applyNumberFormat="1" applyFont="1" applyFill="1" applyBorder="1" applyAlignment="1">
      <alignment horizontal="center" vertical="center"/>
    </xf>
    <xf numFmtId="14" fontId="1" fillId="0" borderId="78" xfId="0" applyNumberFormat="1" applyFont="1" applyBorder="1" applyAlignment="1">
      <alignment horizontal="center" vertical="center"/>
    </xf>
    <xf numFmtId="14" fontId="1" fillId="0" borderId="81" xfId="0" applyNumberFormat="1" applyFont="1" applyBorder="1" applyAlignment="1">
      <alignment horizontal="center" vertical="center"/>
    </xf>
    <xf numFmtId="14" fontId="7" fillId="2" borderId="22" xfId="0" applyNumberFormat="1" applyFont="1" applyFill="1" applyBorder="1" applyAlignment="1">
      <alignment horizontal="center" vertical="center"/>
    </xf>
    <xf numFmtId="14" fontId="1" fillId="0" borderId="39" xfId="0" applyNumberFormat="1" applyFont="1" applyBorder="1" applyAlignment="1">
      <alignment horizontal="center" vertical="center"/>
    </xf>
    <xf numFmtId="49" fontId="1" fillId="2" borderId="44" xfId="0" applyNumberFormat="1" applyFont="1" applyFill="1" applyBorder="1" applyAlignment="1">
      <alignment horizontal="center" vertical="center"/>
    </xf>
    <xf numFmtId="49" fontId="1" fillId="2" borderId="42" xfId="0" applyNumberFormat="1" applyFont="1" applyFill="1" applyBorder="1" applyAlignment="1">
      <alignment horizontal="center" vertical="center"/>
    </xf>
    <xf numFmtId="14" fontId="1" fillId="0" borderId="84" xfId="0" applyNumberFormat="1" applyFont="1" applyBorder="1" applyAlignment="1">
      <alignment horizontal="center" vertical="center"/>
    </xf>
    <xf numFmtId="0" fontId="10" fillId="2" borderId="84" xfId="0" applyFont="1" applyFill="1" applyBorder="1" applyAlignment="1">
      <alignment horizontal="left" vertical="center" wrapText="1"/>
    </xf>
    <xf numFmtId="0" fontId="5" fillId="2" borderId="44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14" fontId="7" fillId="0" borderId="77" xfId="0" applyNumberFormat="1" applyFont="1" applyBorder="1" applyAlignment="1">
      <alignment horizontal="center" vertical="center"/>
    </xf>
    <xf numFmtId="49" fontId="1" fillId="2" borderId="52" xfId="0" applyNumberFormat="1" applyFont="1" applyFill="1" applyBorder="1" applyAlignment="1">
      <alignment horizontal="center" vertical="center"/>
    </xf>
    <xf numFmtId="49" fontId="1" fillId="2" borderId="57" xfId="0" applyNumberFormat="1" applyFont="1" applyFill="1" applyBorder="1" applyAlignment="1">
      <alignment horizontal="center" vertical="center"/>
    </xf>
    <xf numFmtId="49" fontId="1" fillId="2" borderId="24" xfId="0" applyNumberFormat="1" applyFont="1" applyFill="1" applyBorder="1" applyAlignment="1">
      <alignment horizontal="center" vertical="center"/>
    </xf>
    <xf numFmtId="14" fontId="1" fillId="0" borderId="49" xfId="0" applyNumberFormat="1" applyFont="1" applyBorder="1" applyAlignment="1">
      <alignment horizontal="center" vertical="center"/>
    </xf>
    <xf numFmtId="0" fontId="8" fillId="0" borderId="87" xfId="0" applyFont="1" applyBorder="1" applyAlignment="1">
      <alignment horizontal="left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/>
    </xf>
    <xf numFmtId="0" fontId="4" fillId="0" borderId="49" xfId="0" applyFont="1" applyBorder="1" applyAlignment="1">
      <alignment horizontal="center" vertical="center" wrapText="1"/>
    </xf>
    <xf numFmtId="49" fontId="1" fillId="0" borderId="70" xfId="0" applyNumberFormat="1" applyFont="1" applyBorder="1" applyAlignment="1">
      <alignment horizontal="center" vertical="center"/>
    </xf>
    <xf numFmtId="49" fontId="1" fillId="0" borderId="63" xfId="0" applyNumberFormat="1" applyFont="1" applyBorder="1" applyAlignment="1">
      <alignment horizontal="center" vertical="center"/>
    </xf>
    <xf numFmtId="49" fontId="1" fillId="0" borderId="65" xfId="0" applyNumberFormat="1" applyFont="1" applyBorder="1" applyAlignment="1">
      <alignment horizontal="center" vertical="center"/>
    </xf>
    <xf numFmtId="0" fontId="5" fillId="0" borderId="93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 wrapText="1"/>
    </xf>
    <xf numFmtId="14" fontId="1" fillId="7" borderId="24" xfId="0" applyNumberFormat="1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14" fontId="7" fillId="7" borderId="42" xfId="0" applyNumberFormat="1" applyFont="1" applyFill="1" applyBorder="1" applyAlignment="1">
      <alignment horizontal="center" vertical="center"/>
    </xf>
    <xf numFmtId="14" fontId="18" fillId="7" borderId="27" xfId="0" applyNumberFormat="1" applyFont="1" applyFill="1" applyBorder="1" applyAlignment="1">
      <alignment horizontal="center" vertical="center"/>
    </xf>
    <xf numFmtId="49" fontId="1" fillId="7" borderId="52" xfId="0" applyNumberFormat="1" applyFont="1" applyFill="1" applyBorder="1" applyAlignment="1">
      <alignment horizontal="center" vertical="center"/>
    </xf>
    <xf numFmtId="14" fontId="1" fillId="7" borderId="44" xfId="0" applyNumberFormat="1" applyFont="1" applyFill="1" applyBorder="1" applyAlignment="1">
      <alignment horizontal="center" vertical="center"/>
    </xf>
    <xf numFmtId="49" fontId="1" fillId="7" borderId="57" xfId="0" applyNumberFormat="1" applyFont="1" applyFill="1" applyBorder="1" applyAlignment="1">
      <alignment horizontal="center" vertical="center"/>
    </xf>
    <xf numFmtId="14" fontId="1" fillId="7" borderId="42" xfId="0" applyNumberFormat="1" applyFont="1" applyFill="1" applyBorder="1" applyAlignment="1">
      <alignment horizontal="center" vertical="center"/>
    </xf>
    <xf numFmtId="0" fontId="5" fillId="7" borderId="42" xfId="0" applyFont="1" applyFill="1" applyBorder="1" applyAlignment="1">
      <alignment horizontal="center" vertical="center"/>
    </xf>
    <xf numFmtId="0" fontId="6" fillId="7" borderId="42" xfId="0" applyFont="1" applyFill="1" applyBorder="1" applyAlignment="1">
      <alignment horizontal="center" vertical="center" wrapText="1"/>
    </xf>
    <xf numFmtId="14" fontId="1" fillId="7" borderId="66" xfId="0" applyNumberFormat="1" applyFont="1" applyFill="1" applyBorder="1" applyAlignment="1">
      <alignment horizontal="center" vertical="center"/>
    </xf>
    <xf numFmtId="0" fontId="5" fillId="7" borderId="66" xfId="0" applyFont="1" applyFill="1" applyBorder="1" applyAlignment="1">
      <alignment horizontal="center" vertical="center"/>
    </xf>
    <xf numFmtId="14" fontId="7" fillId="7" borderId="66" xfId="0" applyNumberFormat="1" applyFont="1" applyFill="1" applyBorder="1" applyAlignment="1">
      <alignment horizontal="center" vertical="center"/>
    </xf>
    <xf numFmtId="14" fontId="18" fillId="7" borderId="67" xfId="0" applyNumberFormat="1" applyFont="1" applyFill="1" applyBorder="1" applyAlignment="1">
      <alignment horizontal="center" vertical="center"/>
    </xf>
    <xf numFmtId="0" fontId="5" fillId="7" borderId="67" xfId="0" applyFont="1" applyFill="1" applyBorder="1" applyAlignment="1">
      <alignment horizontal="center" vertical="center"/>
    </xf>
    <xf numFmtId="0" fontId="6" fillId="7" borderId="67" xfId="0" applyFont="1" applyFill="1" applyBorder="1" applyAlignment="1">
      <alignment horizontal="center" vertical="center" wrapText="1"/>
    </xf>
    <xf numFmtId="14" fontId="7" fillId="7" borderId="67" xfId="0" applyNumberFormat="1" applyFont="1" applyFill="1" applyBorder="1" applyAlignment="1">
      <alignment horizontal="center" vertical="center"/>
    </xf>
    <xf numFmtId="14" fontId="18" fillId="7" borderId="42" xfId="0" applyNumberFormat="1" applyFont="1" applyFill="1" applyBorder="1" applyAlignment="1">
      <alignment horizontal="center" vertical="center"/>
    </xf>
    <xf numFmtId="14" fontId="18" fillId="7" borderId="55" xfId="0" applyNumberFormat="1" applyFont="1" applyFill="1" applyBorder="1" applyAlignment="1">
      <alignment horizontal="center" vertical="center"/>
    </xf>
    <xf numFmtId="14" fontId="7" fillId="7" borderId="55" xfId="0" applyNumberFormat="1" applyFont="1" applyFill="1" applyBorder="1" applyAlignment="1">
      <alignment horizontal="center" vertical="center"/>
    </xf>
    <xf numFmtId="14" fontId="18" fillId="7" borderId="54" xfId="0" applyNumberFormat="1" applyFont="1" applyFill="1" applyBorder="1" applyAlignment="1">
      <alignment horizontal="center" vertical="center"/>
    </xf>
    <xf numFmtId="0" fontId="6" fillId="7" borderId="54" xfId="0" applyFont="1" applyFill="1" applyBorder="1" applyAlignment="1">
      <alignment horizontal="center" vertical="center" wrapText="1"/>
    </xf>
    <xf numFmtId="14" fontId="7" fillId="7" borderId="54" xfId="0" applyNumberFormat="1" applyFont="1" applyFill="1" applyBorder="1" applyAlignment="1">
      <alignment horizontal="center" vertical="center"/>
    </xf>
    <xf numFmtId="14" fontId="19" fillId="7" borderId="54" xfId="0" applyNumberFormat="1" applyFont="1" applyFill="1" applyBorder="1" applyAlignment="1">
      <alignment horizontal="center" vertical="center"/>
    </xf>
    <xf numFmtId="14" fontId="18" fillId="7" borderId="64" xfId="0" applyNumberFormat="1" applyFont="1" applyFill="1" applyBorder="1" applyAlignment="1">
      <alignment horizontal="center" vertical="center"/>
    </xf>
    <xf numFmtId="0" fontId="5" fillId="7" borderId="54" xfId="0" applyFont="1" applyFill="1" applyBorder="1" applyAlignment="1">
      <alignment horizontal="center" vertical="center"/>
    </xf>
    <xf numFmtId="14" fontId="1" fillId="7" borderId="54" xfId="0" applyNumberFormat="1" applyFont="1" applyFill="1" applyBorder="1" applyAlignment="1">
      <alignment horizontal="center" vertical="center"/>
    </xf>
    <xf numFmtId="14" fontId="5" fillId="7" borderId="54" xfId="0" applyNumberFormat="1" applyFont="1" applyFill="1" applyBorder="1" applyAlignment="1">
      <alignment horizontal="center" vertical="center"/>
    </xf>
    <xf numFmtId="0" fontId="5" fillId="7" borderId="54" xfId="0" applyFont="1" applyFill="1" applyBorder="1" applyAlignment="1">
      <alignment horizontal="left" vertical="center"/>
    </xf>
    <xf numFmtId="0" fontId="5" fillId="7" borderId="54" xfId="0" applyFont="1" applyFill="1" applyBorder="1" applyAlignment="1">
      <alignment vertical="center"/>
    </xf>
    <xf numFmtId="0" fontId="9" fillId="7" borderId="54" xfId="0" applyFont="1" applyFill="1" applyBorder="1" applyAlignment="1">
      <alignment horizontal="center" vertical="center"/>
    </xf>
    <xf numFmtId="0" fontId="10" fillId="7" borderId="54" xfId="0" applyFont="1" applyFill="1" applyBorder="1" applyAlignment="1">
      <alignment horizontal="left" vertical="center" wrapText="1"/>
    </xf>
    <xf numFmtId="14" fontId="5" fillId="7" borderId="54" xfId="0" applyNumberFormat="1" applyFont="1" applyFill="1" applyBorder="1" applyAlignment="1">
      <alignment horizontal="center" vertical="center" wrapText="1"/>
    </xf>
    <xf numFmtId="14" fontId="5" fillId="7" borderId="14" xfId="0" applyNumberFormat="1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14" fontId="18" fillId="7" borderId="24" xfId="0" applyNumberFormat="1" applyFont="1" applyFill="1" applyBorder="1" applyAlignment="1">
      <alignment horizontal="center" vertical="center"/>
    </xf>
    <xf numFmtId="14" fontId="20" fillId="7" borderId="24" xfId="0" applyNumberFormat="1" applyFont="1" applyFill="1" applyBorder="1" applyAlignment="1">
      <alignment horizontal="center" vertical="center"/>
    </xf>
    <xf numFmtId="14" fontId="18" fillId="7" borderId="47" xfId="0" applyNumberFormat="1" applyFont="1" applyFill="1" applyBorder="1" applyAlignment="1">
      <alignment horizontal="center" vertical="center"/>
    </xf>
    <xf numFmtId="0" fontId="5" fillId="7" borderId="39" xfId="0" applyFont="1" applyFill="1" applyBorder="1" applyAlignment="1">
      <alignment horizontal="center" vertical="center"/>
    </xf>
    <xf numFmtId="49" fontId="1" fillId="7" borderId="14" xfId="0" applyNumberFormat="1" applyFont="1" applyFill="1" applyBorder="1" applyAlignment="1">
      <alignment horizontal="center" vertical="center"/>
    </xf>
    <xf numFmtId="14" fontId="1" fillId="7" borderId="14" xfId="0" applyNumberFormat="1" applyFont="1" applyFill="1" applyBorder="1" applyAlignment="1">
      <alignment horizontal="center" vertical="center"/>
    </xf>
    <xf numFmtId="14" fontId="1" fillId="7" borderId="45" xfId="0" applyNumberFormat="1" applyFont="1" applyFill="1" applyBorder="1" applyAlignment="1">
      <alignment horizontal="center" vertical="center"/>
    </xf>
    <xf numFmtId="14" fontId="18" fillId="7" borderId="69" xfId="0" applyNumberFormat="1" applyFont="1" applyFill="1" applyBorder="1" applyAlignment="1">
      <alignment horizontal="center" vertical="center"/>
    </xf>
    <xf numFmtId="14" fontId="18" fillId="7" borderId="94" xfId="0" applyNumberFormat="1" applyFont="1" applyFill="1" applyBorder="1" applyAlignment="1">
      <alignment horizontal="center" vertical="center"/>
    </xf>
    <xf numFmtId="0" fontId="5" fillId="7" borderId="56" xfId="0" applyFont="1" applyFill="1" applyBorder="1" applyAlignment="1">
      <alignment vertical="center"/>
    </xf>
    <xf numFmtId="14" fontId="7" fillId="7" borderId="57" xfId="0" applyNumberFormat="1" applyFont="1" applyFill="1" applyBorder="1" applyAlignment="1">
      <alignment horizontal="center" vertical="center"/>
    </xf>
    <xf numFmtId="0" fontId="17" fillId="7" borderId="56" xfId="0" applyFont="1" applyFill="1" applyBorder="1" applyAlignment="1">
      <alignment vertical="center"/>
    </xf>
    <xf numFmtId="14" fontId="19" fillId="7" borderId="57" xfId="0" applyNumberFormat="1" applyFont="1" applyFill="1" applyBorder="1" applyAlignment="1">
      <alignment horizontal="center" vertical="center"/>
    </xf>
    <xf numFmtId="0" fontId="6" fillId="7" borderId="56" xfId="0" applyFont="1" applyFill="1" applyBorder="1" applyAlignment="1">
      <alignment horizontal="left" vertical="center" wrapText="1"/>
    </xf>
    <xf numFmtId="0" fontId="5" fillId="7" borderId="70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4" fontId="1" fillId="7" borderId="84" xfId="0" applyNumberFormat="1" applyFont="1" applyFill="1" applyBorder="1" applyAlignment="1">
      <alignment horizontal="center" vertical="center"/>
    </xf>
    <xf numFmtId="14" fontId="1" fillId="7" borderId="85" xfId="0" applyNumberFormat="1" applyFont="1" applyFill="1" applyBorder="1" applyAlignment="1">
      <alignment horizontal="center" vertical="center"/>
    </xf>
    <xf numFmtId="14" fontId="1" fillId="7" borderId="86" xfId="0" applyNumberFormat="1" applyFont="1" applyFill="1" applyBorder="1" applyAlignment="1">
      <alignment horizontal="center" vertical="center"/>
    </xf>
    <xf numFmtId="0" fontId="1" fillId="0" borderId="95" xfId="0" applyFont="1" applyBorder="1" applyAlignment="1">
      <alignment horizontal="left" vertical="center"/>
    </xf>
    <xf numFmtId="49" fontId="1" fillId="0" borderId="62" xfId="0" applyNumberFormat="1" applyFont="1" applyBorder="1" applyAlignment="1">
      <alignment horizontal="center" vertical="center"/>
    </xf>
    <xf numFmtId="49" fontId="1" fillId="0" borderId="83" xfId="0" applyNumberFormat="1" applyFont="1" applyBorder="1" applyAlignment="1">
      <alignment horizontal="center" vertical="center"/>
    </xf>
    <xf numFmtId="49" fontId="1" fillId="2" borderId="59" xfId="0" applyNumberFormat="1" applyFont="1" applyFill="1" applyBorder="1" applyAlignment="1">
      <alignment horizontal="center" vertical="center"/>
    </xf>
    <xf numFmtId="49" fontId="1" fillId="2" borderId="63" xfId="0" applyNumberFormat="1" applyFont="1" applyFill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14" fontId="1" fillId="2" borderId="30" xfId="0" applyNumberFormat="1" applyFont="1" applyFill="1" applyBorder="1" applyAlignment="1">
      <alignment horizontal="center" vertical="center"/>
    </xf>
    <xf numFmtId="0" fontId="1" fillId="0" borderId="58" xfId="0" applyFont="1" applyBorder="1" applyAlignment="1">
      <alignment horizontal="left" vertical="center"/>
    </xf>
    <xf numFmtId="49" fontId="1" fillId="0" borderId="48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7" borderId="48" xfId="0" applyFont="1" applyFill="1" applyBorder="1" applyAlignment="1">
      <alignment horizontal="center" vertical="center"/>
    </xf>
    <xf numFmtId="14" fontId="0" fillId="0" borderId="0" xfId="0" applyNumberFormat="1"/>
    <xf numFmtId="0" fontId="1" fillId="0" borderId="101" xfId="0" applyFont="1" applyBorder="1" applyAlignment="1">
      <alignment horizontal="center" vertical="center"/>
    </xf>
    <xf numFmtId="14" fontId="1" fillId="0" borderId="80" xfId="0" applyNumberFormat="1" applyFont="1" applyBorder="1" applyAlignment="1">
      <alignment horizontal="center" vertical="center"/>
    </xf>
    <xf numFmtId="0" fontId="5" fillId="0" borderId="102" xfId="0" applyFont="1" applyBorder="1" applyAlignment="1">
      <alignment vertical="center"/>
    </xf>
    <xf numFmtId="14" fontId="7" fillId="0" borderId="88" xfId="0" applyNumberFormat="1" applyFont="1" applyBorder="1" applyAlignment="1">
      <alignment horizontal="center" vertical="center"/>
    </xf>
    <xf numFmtId="14" fontId="7" fillId="7" borderId="70" xfId="0" applyNumberFormat="1" applyFont="1" applyFill="1" applyBorder="1" applyAlignment="1">
      <alignment horizontal="center" vertical="center"/>
    </xf>
    <xf numFmtId="0" fontId="6" fillId="7" borderId="89" xfId="0" applyFont="1" applyFill="1" applyBorder="1" applyAlignment="1">
      <alignment horizontal="left" vertical="center" wrapText="1"/>
    </xf>
    <xf numFmtId="0" fontId="6" fillId="0" borderId="89" xfId="0" applyFont="1" applyBorder="1" applyAlignment="1">
      <alignment horizontal="center" vertical="center" wrapText="1"/>
    </xf>
    <xf numFmtId="0" fontId="10" fillId="7" borderId="89" xfId="0" applyFont="1" applyFill="1" applyBorder="1" applyAlignment="1">
      <alignment horizontal="left" vertical="center" wrapText="1"/>
    </xf>
    <xf numFmtId="0" fontId="10" fillId="7" borderId="89" xfId="0" applyFont="1" applyFill="1" applyBorder="1" applyAlignment="1">
      <alignment horizontal="center" vertical="center" wrapText="1"/>
    </xf>
    <xf numFmtId="0" fontId="5" fillId="0" borderId="89" xfId="0" applyFont="1" applyBorder="1" applyAlignment="1">
      <alignment vertical="center"/>
    </xf>
    <xf numFmtId="14" fontId="7" fillId="0" borderId="89" xfId="0" applyNumberFormat="1" applyFont="1" applyBorder="1" applyAlignment="1">
      <alignment horizontal="center" vertical="center"/>
    </xf>
    <xf numFmtId="0" fontId="5" fillId="7" borderId="89" xfId="0" applyFont="1" applyFill="1" applyBorder="1" applyAlignment="1">
      <alignment horizontal="left" vertical="center"/>
    </xf>
    <xf numFmtId="0" fontId="5" fillId="7" borderId="89" xfId="0" applyFont="1" applyFill="1" applyBorder="1" applyAlignment="1">
      <alignment horizontal="center" vertical="center"/>
    </xf>
    <xf numFmtId="14" fontId="7" fillId="7" borderId="89" xfId="0" applyNumberFormat="1" applyFont="1" applyFill="1" applyBorder="1" applyAlignment="1">
      <alignment horizontal="center" vertical="center"/>
    </xf>
    <xf numFmtId="0" fontId="6" fillId="7" borderId="89" xfId="0" applyFont="1" applyFill="1" applyBorder="1" applyAlignment="1">
      <alignment horizontal="center" vertical="center" wrapText="1"/>
    </xf>
    <xf numFmtId="0" fontId="22" fillId="0" borderId="89" xfId="0" applyFont="1" applyBorder="1" applyAlignment="1">
      <alignment horizontal="center" vertical="center"/>
    </xf>
    <xf numFmtId="14" fontId="22" fillId="0" borderId="54" xfId="0" applyNumberFormat="1" applyFont="1" applyBorder="1" applyAlignment="1">
      <alignment horizontal="center" vertical="center"/>
    </xf>
    <xf numFmtId="0" fontId="6" fillId="7" borderId="54" xfId="0" applyFont="1" applyFill="1" applyBorder="1" applyAlignment="1">
      <alignment horizontal="left" vertical="center" wrapText="1"/>
    </xf>
    <xf numFmtId="0" fontId="5" fillId="7" borderId="49" xfId="0" applyFont="1" applyFill="1" applyBorder="1" applyAlignment="1">
      <alignment vertical="center"/>
    </xf>
    <xf numFmtId="14" fontId="7" fillId="7" borderId="68" xfId="0" applyNumberFormat="1" applyFont="1" applyFill="1" applyBorder="1" applyAlignment="1">
      <alignment horizontal="center" vertical="center"/>
    </xf>
    <xf numFmtId="14" fontId="7" fillId="7" borderId="49" xfId="0" applyNumberFormat="1" applyFont="1" applyFill="1" applyBorder="1" applyAlignment="1">
      <alignment horizontal="center" vertical="center"/>
    </xf>
    <xf numFmtId="0" fontId="5" fillId="7" borderId="56" xfId="0" applyFont="1" applyFill="1" applyBorder="1" applyAlignment="1">
      <alignment horizontal="center" vertical="center"/>
    </xf>
    <xf numFmtId="0" fontId="6" fillId="7" borderId="56" xfId="0" applyFont="1" applyFill="1" applyBorder="1" applyAlignment="1">
      <alignment horizontal="center" vertical="center" wrapText="1"/>
    </xf>
    <xf numFmtId="14" fontId="7" fillId="7" borderId="56" xfId="0" applyNumberFormat="1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5" fillId="7" borderId="67" xfId="0" applyFont="1" applyFill="1" applyBorder="1" applyAlignment="1">
      <alignment horizontal="left" vertical="center"/>
    </xf>
    <xf numFmtId="0" fontId="5" fillId="7" borderId="20" xfId="0" applyFont="1" applyFill="1" applyBorder="1" applyAlignment="1">
      <alignment horizontal="center" vertical="center"/>
    </xf>
    <xf numFmtId="14" fontId="7" fillId="0" borderId="20" xfId="0" applyNumberFormat="1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 wrapText="1"/>
    </xf>
    <xf numFmtId="0" fontId="10" fillId="7" borderId="56" xfId="0" applyFont="1" applyFill="1" applyBorder="1" applyAlignment="1">
      <alignment horizontal="center" vertical="center" wrapText="1"/>
    </xf>
    <xf numFmtId="0" fontId="5" fillId="7" borderId="105" xfId="0" applyFont="1" applyFill="1" applyBorder="1" applyAlignment="1">
      <alignment vertical="center"/>
    </xf>
    <xf numFmtId="0" fontId="6" fillId="7" borderId="20" xfId="0" applyFont="1" applyFill="1" applyBorder="1" applyAlignment="1">
      <alignment horizontal="left" vertical="center" wrapText="1"/>
    </xf>
    <xf numFmtId="0" fontId="5" fillId="7" borderId="20" xfId="0" applyFont="1" applyFill="1" applyBorder="1" applyAlignment="1">
      <alignment vertical="center"/>
    </xf>
    <xf numFmtId="0" fontId="5" fillId="7" borderId="23" xfId="0" applyFont="1" applyFill="1" applyBorder="1" applyAlignment="1">
      <alignment vertical="center"/>
    </xf>
    <xf numFmtId="0" fontId="6" fillId="7" borderId="23" xfId="0" applyFont="1" applyFill="1" applyBorder="1" applyAlignment="1">
      <alignment horizontal="left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 wrapText="1"/>
    </xf>
    <xf numFmtId="14" fontId="7" fillId="0" borderId="67" xfId="0" applyNumberFormat="1" applyFont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14" fontId="5" fillId="7" borderId="23" xfId="0" applyNumberFormat="1" applyFont="1" applyFill="1" applyBorder="1" applyAlignment="1">
      <alignment horizontal="center" vertical="center"/>
    </xf>
    <xf numFmtId="0" fontId="5" fillId="7" borderId="72" xfId="0" applyFont="1" applyFill="1" applyBorder="1" applyAlignment="1">
      <alignment horizontal="center" vertical="center"/>
    </xf>
    <xf numFmtId="0" fontId="5" fillId="7" borderId="74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0" fontId="5" fillId="7" borderId="42" xfId="0" applyFont="1" applyFill="1" applyBorder="1" applyAlignment="1">
      <alignment vertical="center"/>
    </xf>
    <xf numFmtId="0" fontId="5" fillId="7" borderId="42" xfId="0" applyFont="1" applyFill="1" applyBorder="1" applyAlignment="1">
      <alignment horizontal="left" vertical="center"/>
    </xf>
    <xf numFmtId="0" fontId="5" fillId="7" borderId="66" xfId="0" applyFont="1" applyFill="1" applyBorder="1" applyAlignment="1">
      <alignment horizontal="left" vertical="center"/>
    </xf>
    <xf numFmtId="0" fontId="23" fillId="7" borderId="23" xfId="0" applyFont="1" applyFill="1" applyBorder="1" applyAlignment="1">
      <alignment horizontal="center" vertical="center"/>
    </xf>
    <xf numFmtId="14" fontId="7" fillId="7" borderId="101" xfId="0" applyNumberFormat="1" applyFont="1" applyFill="1" applyBorder="1" applyAlignment="1">
      <alignment horizontal="center" vertical="center"/>
    </xf>
    <xf numFmtId="0" fontId="5" fillId="7" borderId="67" xfId="0" applyFont="1" applyFill="1" applyBorder="1" applyAlignment="1">
      <alignment vertical="center"/>
    </xf>
    <xf numFmtId="14" fontId="7" fillId="7" borderId="20" xfId="0" applyNumberFormat="1" applyFont="1" applyFill="1" applyBorder="1" applyAlignment="1">
      <alignment horizontal="center" vertical="center"/>
    </xf>
    <xf numFmtId="0" fontId="6" fillId="7" borderId="101" xfId="0" applyFont="1" applyFill="1" applyBorder="1" applyAlignment="1">
      <alignment horizontal="center" vertical="center" wrapText="1"/>
    </xf>
    <xf numFmtId="0" fontId="6" fillId="7" borderId="67" xfId="0" applyFont="1" applyFill="1" applyBorder="1" applyAlignment="1">
      <alignment horizontal="left" vertical="center" wrapText="1"/>
    </xf>
    <xf numFmtId="0" fontId="6" fillId="7" borderId="42" xfId="0" applyFont="1" applyFill="1" applyBorder="1" applyAlignment="1">
      <alignment horizontal="left" vertical="center" wrapText="1"/>
    </xf>
    <xf numFmtId="0" fontId="6" fillId="7" borderId="68" xfId="0" applyFont="1" applyFill="1" applyBorder="1" applyAlignment="1">
      <alignment horizontal="left" vertical="center" wrapText="1"/>
    </xf>
    <xf numFmtId="0" fontId="6" fillId="7" borderId="70" xfId="0" applyFont="1" applyFill="1" applyBorder="1" applyAlignment="1">
      <alignment horizontal="center" vertical="center" wrapText="1"/>
    </xf>
    <xf numFmtId="0" fontId="1" fillId="0" borderId="92" xfId="0" applyFont="1" applyBorder="1" applyAlignment="1">
      <alignment horizontal="left" vertical="center"/>
    </xf>
    <xf numFmtId="0" fontId="1" fillId="0" borderId="63" xfId="0" applyFont="1" applyBorder="1" applyAlignment="1">
      <alignment horizontal="center" vertical="center"/>
    </xf>
    <xf numFmtId="14" fontId="18" fillId="7" borderId="48" xfId="0" applyNumberFormat="1" applyFont="1" applyFill="1" applyBorder="1" applyAlignment="1">
      <alignment horizontal="center" vertical="center"/>
    </xf>
    <xf numFmtId="0" fontId="6" fillId="7" borderId="70" xfId="0" applyFont="1" applyFill="1" applyBorder="1" applyAlignment="1">
      <alignment horizontal="left" vertical="center" wrapText="1"/>
    </xf>
    <xf numFmtId="0" fontId="6" fillId="0" borderId="68" xfId="0" applyFont="1" applyBorder="1" applyAlignment="1">
      <alignment horizontal="center" vertical="center" wrapText="1"/>
    </xf>
    <xf numFmtId="14" fontId="7" fillId="0" borderId="70" xfId="0" applyNumberFormat="1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14" fontId="18" fillId="7" borderId="107" xfId="0" applyNumberFormat="1" applyFont="1" applyFill="1" applyBorder="1" applyAlignment="1">
      <alignment horizontal="center" vertical="center"/>
    </xf>
    <xf numFmtId="0" fontId="5" fillId="7" borderId="108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49" fontId="1" fillId="2" borderId="46" xfId="0" applyNumberFormat="1" applyFont="1" applyFill="1" applyBorder="1" applyAlignment="1">
      <alignment horizontal="center" vertical="center"/>
    </xf>
    <xf numFmtId="14" fontId="1" fillId="0" borderId="46" xfId="0" applyNumberFormat="1" applyFont="1" applyBorder="1" applyAlignment="1">
      <alignment horizontal="center" vertical="center"/>
    </xf>
    <xf numFmtId="0" fontId="1" fillId="0" borderId="91" xfId="0" applyFont="1" applyBorder="1" applyAlignment="1">
      <alignment horizontal="center" vertical="center"/>
    </xf>
    <xf numFmtId="49" fontId="1" fillId="7" borderId="46" xfId="0" applyNumberFormat="1" applyFont="1" applyFill="1" applyBorder="1" applyAlignment="1">
      <alignment horizontal="center" vertical="center"/>
    </xf>
    <xf numFmtId="49" fontId="1" fillId="7" borderId="48" xfId="0" applyNumberFormat="1" applyFont="1" applyFill="1" applyBorder="1" applyAlignment="1">
      <alignment horizontal="center" vertical="center"/>
    </xf>
    <xf numFmtId="49" fontId="1" fillId="2" borderId="109" xfId="0" applyNumberFormat="1" applyFont="1" applyFill="1" applyBorder="1" applyAlignment="1">
      <alignment horizontal="center" vertical="center"/>
    </xf>
    <xf numFmtId="0" fontId="5" fillId="0" borderId="54" xfId="0" applyFont="1" applyBorder="1" applyAlignment="1">
      <alignment vertical="center"/>
    </xf>
    <xf numFmtId="14" fontId="7" fillId="0" borderId="56" xfId="0" applyNumberFormat="1" applyFont="1" applyBorder="1" applyAlignment="1">
      <alignment horizontal="center" vertical="center"/>
    </xf>
    <xf numFmtId="14" fontId="19" fillId="0" borderId="42" xfId="0" applyNumberFormat="1" applyFont="1" applyBorder="1" applyAlignment="1">
      <alignment horizontal="center" vertical="center"/>
    </xf>
    <xf numFmtId="14" fontId="7" fillId="0" borderId="64" xfId="0" applyNumberFormat="1" applyFont="1" applyBorder="1" applyAlignment="1">
      <alignment horizontal="center" vertical="center"/>
    </xf>
    <xf numFmtId="14" fontId="7" fillId="0" borderId="65" xfId="0" applyNumberFormat="1" applyFont="1" applyBorder="1" applyAlignment="1">
      <alignment horizontal="center" vertical="center"/>
    </xf>
    <xf numFmtId="14" fontId="19" fillId="0" borderId="48" xfId="0" applyNumberFormat="1" applyFont="1" applyBorder="1" applyAlignment="1">
      <alignment horizontal="center" vertical="center"/>
    </xf>
    <xf numFmtId="14" fontId="19" fillId="0" borderId="53" xfId="0" applyNumberFormat="1" applyFont="1" applyBorder="1" applyAlignment="1">
      <alignment horizontal="center" vertical="center"/>
    </xf>
    <xf numFmtId="0" fontId="0" fillId="0" borderId="20" xfId="0" applyBorder="1"/>
    <xf numFmtId="0" fontId="1" fillId="0" borderId="26" xfId="0" applyFont="1" applyBorder="1" applyAlignment="1">
      <alignment horizontal="center" vertical="center"/>
    </xf>
    <xf numFmtId="49" fontId="1" fillId="2" borderId="45" xfId="0" applyNumberFormat="1" applyFont="1" applyFill="1" applyBorder="1" applyAlignment="1">
      <alignment horizontal="center" vertical="center"/>
    </xf>
    <xf numFmtId="14" fontId="1" fillId="2" borderId="45" xfId="0" applyNumberFormat="1" applyFont="1" applyFill="1" applyBorder="1" applyAlignment="1">
      <alignment horizontal="center" vertical="center"/>
    </xf>
    <xf numFmtId="14" fontId="7" fillId="2" borderId="66" xfId="0" applyNumberFormat="1" applyFont="1" applyFill="1" applyBorder="1" applyAlignment="1">
      <alignment horizontal="center" vertical="center"/>
    </xf>
    <xf numFmtId="14" fontId="18" fillId="7" borderId="81" xfId="0" applyNumberFormat="1" applyFont="1" applyFill="1" applyBorder="1" applyAlignment="1">
      <alignment horizontal="center" vertical="center"/>
    </xf>
    <xf numFmtId="0" fontId="5" fillId="7" borderId="46" xfId="0" applyFont="1" applyFill="1" applyBorder="1" applyAlignment="1">
      <alignment horizontal="center" vertical="center"/>
    </xf>
    <xf numFmtId="0" fontId="6" fillId="7" borderId="99" xfId="0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/>
    </xf>
    <xf numFmtId="49" fontId="1" fillId="2" borderId="53" xfId="0" applyNumberFormat="1" applyFont="1" applyFill="1" applyBorder="1" applyAlignment="1">
      <alignment horizontal="center" vertical="center"/>
    </xf>
    <xf numFmtId="49" fontId="1" fillId="2" borderId="55" xfId="0" applyNumberFormat="1" applyFont="1" applyFill="1" applyBorder="1" applyAlignment="1">
      <alignment horizontal="center" vertical="center"/>
    </xf>
    <xf numFmtId="0" fontId="1" fillId="0" borderId="110" xfId="0" applyFont="1" applyBorder="1" applyAlignment="1">
      <alignment horizontal="center" vertical="center"/>
    </xf>
    <xf numFmtId="49" fontId="1" fillId="2" borderId="48" xfId="0" applyNumberFormat="1" applyFont="1" applyFill="1" applyBorder="1" applyAlignment="1">
      <alignment horizontal="center" vertical="center"/>
    </xf>
    <xf numFmtId="14" fontId="1" fillId="7" borderId="51" xfId="0" applyNumberFormat="1" applyFont="1" applyFill="1" applyBorder="1" applyAlignment="1">
      <alignment horizontal="center" vertical="center"/>
    </xf>
    <xf numFmtId="14" fontId="18" fillId="0" borderId="90" xfId="0" applyNumberFormat="1" applyFont="1" applyBorder="1" applyAlignment="1">
      <alignment horizontal="center" vertical="center"/>
    </xf>
    <xf numFmtId="14" fontId="7" fillId="0" borderId="48" xfId="0" applyNumberFormat="1" applyFont="1" applyBorder="1" applyAlignment="1">
      <alignment horizontal="center" vertical="center"/>
    </xf>
    <xf numFmtId="14" fontId="19" fillId="0" borderId="52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center" vertical="center" wrapText="1"/>
    </xf>
    <xf numFmtId="14" fontId="7" fillId="0" borderId="14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14" fontId="5" fillId="0" borderId="22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0" fillId="0" borderId="45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center" vertical="center" wrapText="1"/>
    </xf>
    <xf numFmtId="14" fontId="7" fillId="0" borderId="45" xfId="0" applyNumberFormat="1" applyFont="1" applyBorder="1" applyAlignment="1">
      <alignment horizontal="center" vertical="center"/>
    </xf>
    <xf numFmtId="0" fontId="10" fillId="0" borderId="74" xfId="0" applyFont="1" applyBorder="1" applyAlignment="1">
      <alignment horizontal="left" vertical="center" wrapText="1"/>
    </xf>
    <xf numFmtId="0" fontId="10" fillId="0" borderId="69" xfId="0" applyFont="1" applyBorder="1" applyAlignment="1">
      <alignment horizontal="center" vertical="center" wrapText="1"/>
    </xf>
    <xf numFmtId="14" fontId="7" fillId="0" borderId="76" xfId="0" applyNumberFormat="1" applyFont="1" applyBorder="1" applyAlignment="1">
      <alignment horizontal="center" vertical="center"/>
    </xf>
    <xf numFmtId="0" fontId="10" fillId="0" borderId="91" xfId="0" applyFont="1" applyBorder="1" applyAlignment="1">
      <alignment horizontal="left" vertical="center" wrapText="1"/>
    </xf>
    <xf numFmtId="0" fontId="10" fillId="0" borderId="93" xfId="0" applyFont="1" applyBorder="1" applyAlignment="1">
      <alignment horizontal="center" vertical="center" wrapText="1"/>
    </xf>
    <xf numFmtId="14" fontId="7" fillId="0" borderId="90" xfId="0" applyNumberFormat="1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 wrapText="1"/>
    </xf>
    <xf numFmtId="14" fontId="22" fillId="0" borderId="42" xfId="0" applyNumberFormat="1" applyFont="1" applyBorder="1" applyAlignment="1">
      <alignment horizontal="center" vertical="center"/>
    </xf>
    <xf numFmtId="14" fontId="5" fillId="0" borderId="77" xfId="0" applyNumberFormat="1" applyFont="1" applyBorder="1" applyAlignment="1">
      <alignment horizontal="center" vertical="center"/>
    </xf>
    <xf numFmtId="0" fontId="10" fillId="0" borderId="84" xfId="0" applyFont="1" applyBorder="1" applyAlignment="1">
      <alignment horizontal="left" vertical="center" wrapText="1"/>
    </xf>
    <xf numFmtId="0" fontId="5" fillId="0" borderId="42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10" fillId="0" borderId="20" xfId="0" applyFont="1" applyBorder="1" applyAlignment="1">
      <alignment horizontal="left" vertical="center" wrapText="1"/>
    </xf>
    <xf numFmtId="0" fontId="10" fillId="0" borderId="67" xfId="0" applyFont="1" applyBorder="1" applyAlignment="1">
      <alignment horizontal="center" vertical="center" wrapText="1"/>
    </xf>
    <xf numFmtId="14" fontId="5" fillId="0" borderId="42" xfId="0" applyNumberFormat="1" applyFont="1" applyBorder="1" applyAlignment="1">
      <alignment horizontal="center" vertical="center"/>
    </xf>
    <xf numFmtId="14" fontId="5" fillId="0" borderId="42" xfId="0" applyNumberFormat="1" applyFont="1" applyBorder="1" applyAlignment="1">
      <alignment horizontal="center" vertical="center" wrapText="1"/>
    </xf>
    <xf numFmtId="0" fontId="5" fillId="0" borderId="84" xfId="0" applyFont="1" applyBorder="1" applyAlignment="1">
      <alignment vertical="center"/>
    </xf>
    <xf numFmtId="0" fontId="5" fillId="0" borderId="55" xfId="0" applyFont="1" applyBorder="1" applyAlignment="1">
      <alignment horizontal="center" vertical="center"/>
    </xf>
    <xf numFmtId="0" fontId="10" fillId="0" borderId="86" xfId="0" applyFont="1" applyBorder="1" applyAlignment="1">
      <alignment horizontal="left" vertical="center" wrapText="1"/>
    </xf>
    <xf numFmtId="0" fontId="10" fillId="0" borderId="55" xfId="0" applyFont="1" applyBorder="1" applyAlignment="1">
      <alignment horizontal="center" vertical="center" wrapText="1"/>
    </xf>
    <xf numFmtId="14" fontId="7" fillId="0" borderId="55" xfId="0" applyNumberFormat="1" applyFont="1" applyBorder="1" applyAlignment="1">
      <alignment horizontal="center" vertical="center"/>
    </xf>
    <xf numFmtId="0" fontId="10" fillId="0" borderId="51" xfId="0" applyFont="1" applyBorder="1" applyAlignment="1">
      <alignment horizontal="left" vertical="center" wrapText="1"/>
    </xf>
    <xf numFmtId="0" fontId="10" fillId="0" borderId="48" xfId="0" applyFont="1" applyBorder="1" applyAlignment="1">
      <alignment horizontal="center" vertical="center" wrapText="1"/>
    </xf>
    <xf numFmtId="14" fontId="7" fillId="7" borderId="24" xfId="0" applyNumberFormat="1" applyFont="1" applyFill="1" applyBorder="1" applyAlignment="1">
      <alignment horizontal="center" vertical="center"/>
    </xf>
    <xf numFmtId="14" fontId="5" fillId="0" borderId="23" xfId="0" applyNumberFormat="1" applyFont="1" applyBorder="1" applyAlignment="1">
      <alignment horizontal="center" vertical="center"/>
    </xf>
    <xf numFmtId="0" fontId="5" fillId="0" borderId="99" xfId="0" applyFont="1" applyBorder="1" applyAlignment="1">
      <alignment horizontal="center" vertical="center"/>
    </xf>
    <xf numFmtId="0" fontId="10" fillId="0" borderId="99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center" vertical="center" wrapText="1"/>
    </xf>
    <xf numFmtId="14" fontId="7" fillId="0" borderId="81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73" xfId="0" applyNumberFormat="1" applyFont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/>
    </xf>
    <xf numFmtId="14" fontId="1" fillId="0" borderId="2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49" fontId="1" fillId="0" borderId="42" xfId="0" applyNumberFormat="1" applyFont="1" applyBorder="1" applyAlignment="1">
      <alignment horizontal="center" vertical="center"/>
    </xf>
    <xf numFmtId="14" fontId="1" fillId="0" borderId="85" xfId="0" applyNumberFormat="1" applyFont="1" applyBorder="1" applyAlignment="1">
      <alignment horizontal="center" vertical="center"/>
    </xf>
    <xf numFmtId="49" fontId="1" fillId="0" borderId="55" xfId="0" applyNumberFormat="1" applyFont="1" applyBorder="1" applyAlignment="1">
      <alignment horizontal="center" vertical="center"/>
    </xf>
    <xf numFmtId="14" fontId="1" fillId="0" borderId="86" xfId="0" applyNumberFormat="1" applyFont="1" applyBorder="1" applyAlignment="1">
      <alignment horizontal="center" vertical="center"/>
    </xf>
    <xf numFmtId="14" fontId="1" fillId="0" borderId="51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49" fontId="1" fillId="0" borderId="53" xfId="0" applyNumberFormat="1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0" fontId="17" fillId="7" borderId="54" xfId="0" applyFont="1" applyFill="1" applyBorder="1" applyAlignment="1">
      <alignment vertical="center"/>
    </xf>
    <xf numFmtId="0" fontId="6" fillId="0" borderId="54" xfId="0" applyFont="1" applyBorder="1" applyAlignment="1">
      <alignment horizontal="left" vertical="center" wrapText="1"/>
    </xf>
    <xf numFmtId="0" fontId="17" fillId="0" borderId="54" xfId="0" applyFont="1" applyBorder="1" applyAlignment="1">
      <alignment vertical="center"/>
    </xf>
    <xf numFmtId="0" fontId="4" fillId="0" borderId="31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6" fillId="0" borderId="89" xfId="0" applyFont="1" applyBorder="1" applyAlignment="1">
      <alignment horizontal="left" vertical="center" wrapText="1"/>
    </xf>
    <xf numFmtId="0" fontId="17" fillId="0" borderId="89" xfId="0" applyFont="1" applyBorder="1" applyAlignment="1">
      <alignment vertical="center"/>
    </xf>
    <xf numFmtId="14" fontId="19" fillId="7" borderId="89" xfId="0" applyNumberFormat="1" applyFont="1" applyFill="1" applyBorder="1" applyAlignment="1">
      <alignment horizontal="center" vertical="center"/>
    </xf>
    <xf numFmtId="14" fontId="19" fillId="0" borderId="89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17" fillId="0" borderId="49" xfId="0" applyFont="1" applyBorder="1" applyAlignment="1">
      <alignment vertical="center"/>
    </xf>
    <xf numFmtId="0" fontId="5" fillId="0" borderId="89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14" fontId="7" fillId="8" borderId="57" xfId="0" applyNumberFormat="1" applyFont="1" applyFill="1" applyBorder="1" applyAlignment="1">
      <alignment horizontal="center" vertical="center"/>
    </xf>
    <xf numFmtId="14" fontId="7" fillId="8" borderId="54" xfId="0" applyNumberFormat="1" applyFont="1" applyFill="1" applyBorder="1" applyAlignment="1">
      <alignment horizontal="center" vertical="center"/>
    </xf>
    <xf numFmtId="0" fontId="10" fillId="8" borderId="56" xfId="0" applyFont="1" applyFill="1" applyBorder="1" applyAlignment="1">
      <alignment horizontal="left" vertical="center" wrapText="1"/>
    </xf>
    <xf numFmtId="0" fontId="10" fillId="8" borderId="54" xfId="0" applyFont="1" applyFill="1" applyBorder="1" applyAlignment="1">
      <alignment horizontal="center" vertical="center" wrapText="1"/>
    </xf>
    <xf numFmtId="14" fontId="19" fillId="0" borderId="49" xfId="0" applyNumberFormat="1" applyFont="1" applyBorder="1" applyAlignment="1">
      <alignment horizontal="center" vertical="center"/>
    </xf>
    <xf numFmtId="0" fontId="0" fillId="0" borderId="72" xfId="0" applyBorder="1"/>
    <xf numFmtId="14" fontId="23" fillId="0" borderId="23" xfId="0" applyNumberFormat="1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2" borderId="72" xfId="0" applyFont="1" applyFill="1" applyBorder="1" applyAlignment="1">
      <alignment horizontal="center" vertical="center"/>
    </xf>
    <xf numFmtId="0" fontId="17" fillId="7" borderId="49" xfId="0" applyFont="1" applyFill="1" applyBorder="1" applyAlignment="1">
      <alignment vertical="center"/>
    </xf>
    <xf numFmtId="0" fontId="10" fillId="0" borderId="42" xfId="0" applyFont="1" applyBorder="1" applyAlignment="1">
      <alignment horizontal="left" vertical="center" wrapText="1"/>
    </xf>
    <xf numFmtId="0" fontId="5" fillId="0" borderId="70" xfId="0" applyFont="1" applyBorder="1" applyAlignment="1">
      <alignment vertical="center"/>
    </xf>
    <xf numFmtId="0" fontId="5" fillId="0" borderId="77" xfId="0" applyFont="1" applyBorder="1" applyAlignment="1">
      <alignment vertical="center"/>
    </xf>
    <xf numFmtId="0" fontId="5" fillId="2" borderId="66" xfId="0" applyFont="1" applyFill="1" applyBorder="1" applyAlignment="1">
      <alignment vertical="center"/>
    </xf>
    <xf numFmtId="0" fontId="5" fillId="0" borderId="65" xfId="0" applyFont="1" applyBorder="1" applyAlignment="1">
      <alignment vertical="center"/>
    </xf>
    <xf numFmtId="0" fontId="12" fillId="0" borderId="23" xfId="0" applyFont="1" applyBorder="1" applyAlignment="1">
      <alignment horizontal="center" vertical="center"/>
    </xf>
    <xf numFmtId="0" fontId="22" fillId="0" borderId="89" xfId="0" applyFont="1" applyBorder="1" applyAlignment="1">
      <alignment vertical="center"/>
    </xf>
    <xf numFmtId="0" fontId="10" fillId="0" borderId="89" xfId="0" applyFont="1" applyBorder="1" applyAlignment="1">
      <alignment horizontal="left" vertical="center" wrapText="1"/>
    </xf>
    <xf numFmtId="0" fontId="10" fillId="0" borderId="89" xfId="0" applyFont="1" applyBorder="1" applyAlignment="1">
      <alignment horizontal="center" vertical="center" wrapText="1"/>
    </xf>
    <xf numFmtId="0" fontId="5" fillId="0" borderId="89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14" fontId="5" fillId="0" borderId="54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6" fillId="0" borderId="82" xfId="0" applyFont="1" applyBorder="1" applyAlignment="1">
      <alignment horizontal="left" vertical="center" wrapText="1"/>
    </xf>
    <xf numFmtId="0" fontId="6" fillId="0" borderId="97" xfId="0" applyFont="1" applyBorder="1" applyAlignment="1">
      <alignment horizontal="center" vertical="center" wrapText="1"/>
    </xf>
    <xf numFmtId="14" fontId="5" fillId="0" borderId="41" xfId="0" applyNumberFormat="1" applyFont="1" applyBorder="1" applyAlignment="1">
      <alignment horizontal="center" vertical="center" wrapText="1"/>
    </xf>
    <xf numFmtId="0" fontId="6" fillId="0" borderId="43" xfId="0" applyFont="1" applyBorder="1" applyAlignment="1">
      <alignment horizontal="left" vertical="center" wrapText="1"/>
    </xf>
    <xf numFmtId="0" fontId="6" fillId="0" borderId="104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 vertical="center" wrapText="1"/>
    </xf>
    <xf numFmtId="14" fontId="6" fillId="0" borderId="54" xfId="0" applyNumberFormat="1" applyFont="1" applyBorder="1" applyAlignment="1">
      <alignment horizontal="center" vertical="center" wrapText="1"/>
    </xf>
    <xf numFmtId="0" fontId="5" fillId="0" borderId="43" xfId="0" applyFont="1" applyBorder="1" applyAlignment="1">
      <alignment vertical="center"/>
    </xf>
    <xf numFmtId="14" fontId="7" fillId="0" borderId="104" xfId="0" applyNumberFormat="1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6" fillId="0" borderId="57" xfId="0" applyFont="1" applyBorder="1" applyAlignment="1">
      <alignment horizontal="left" vertical="center" wrapText="1"/>
    </xf>
    <xf numFmtId="0" fontId="5" fillId="0" borderId="57" xfId="0" applyFont="1" applyBorder="1" applyAlignment="1">
      <alignment vertical="center"/>
    </xf>
    <xf numFmtId="0" fontId="1" fillId="0" borderId="55" xfId="0" applyFont="1" applyBorder="1" applyAlignment="1">
      <alignment horizontal="center" vertical="center"/>
    </xf>
    <xf numFmtId="49" fontId="1" fillId="0" borderId="47" xfId="0" applyNumberFormat="1" applyFont="1" applyBorder="1" applyAlignment="1">
      <alignment horizontal="center" vertical="center"/>
    </xf>
    <xf numFmtId="14" fontId="1" fillId="0" borderId="20" xfId="0" applyNumberFormat="1" applyFont="1" applyBorder="1" applyAlignment="1">
      <alignment horizontal="center" vertical="center"/>
    </xf>
    <xf numFmtId="0" fontId="5" fillId="0" borderId="104" xfId="0" applyFont="1" applyBorder="1" applyAlignment="1">
      <alignment horizontal="center" vertical="center"/>
    </xf>
    <xf numFmtId="49" fontId="1" fillId="0" borderId="112" xfId="0" applyNumberFormat="1" applyFont="1" applyBorder="1" applyAlignment="1">
      <alignment horizontal="center" vertical="center"/>
    </xf>
    <xf numFmtId="14" fontId="1" fillId="0" borderId="61" xfId="0" applyNumberFormat="1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8" borderId="54" xfId="0" applyFont="1" applyFill="1" applyBorder="1" applyAlignment="1">
      <alignment vertical="center"/>
    </xf>
    <xf numFmtId="14" fontId="19" fillId="8" borderId="54" xfId="0" applyNumberFormat="1" applyFont="1" applyFill="1" applyBorder="1" applyAlignment="1">
      <alignment horizontal="center" vertical="center"/>
    </xf>
    <xf numFmtId="0" fontId="6" fillId="8" borderId="56" xfId="0" applyFont="1" applyFill="1" applyBorder="1" applyAlignment="1">
      <alignment horizontal="left" vertical="center" wrapText="1"/>
    </xf>
    <xf numFmtId="0" fontId="17" fillId="0" borderId="51" xfId="0" applyFont="1" applyBorder="1" applyAlignment="1">
      <alignment vertical="center"/>
    </xf>
    <xf numFmtId="0" fontId="6" fillId="8" borderId="54" xfId="0" applyFont="1" applyFill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/>
    </xf>
    <xf numFmtId="0" fontId="17" fillId="0" borderId="68" xfId="0" applyFont="1" applyBorder="1" applyAlignment="1">
      <alignment vertical="center"/>
    </xf>
    <xf numFmtId="14" fontId="19" fillId="0" borderId="70" xfId="0" applyNumberFormat="1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6" fillId="7" borderId="48" xfId="0" applyFont="1" applyFill="1" applyBorder="1" applyAlignment="1">
      <alignment horizontal="left" vertical="center" wrapText="1"/>
    </xf>
    <xf numFmtId="0" fontId="6" fillId="0" borderId="51" xfId="0" applyFont="1" applyBorder="1" applyAlignment="1">
      <alignment horizontal="center" vertical="center" wrapText="1"/>
    </xf>
    <xf numFmtId="0" fontId="5" fillId="7" borderId="106" xfId="0" applyFont="1" applyFill="1" applyBorder="1" applyAlignment="1">
      <alignment vertical="center"/>
    </xf>
    <xf numFmtId="14" fontId="7" fillId="0" borderId="100" xfId="0" applyNumberFormat="1" applyFont="1" applyBorder="1" applyAlignment="1">
      <alignment horizontal="center" vertical="center"/>
    </xf>
    <xf numFmtId="14" fontId="1" fillId="0" borderId="44" xfId="0" applyNumberFormat="1" applyFont="1" applyBorder="1" applyAlignment="1">
      <alignment horizontal="center" vertical="center"/>
    </xf>
    <xf numFmtId="14" fontId="1" fillId="0" borderId="42" xfId="0" applyNumberFormat="1" applyFont="1" applyBorder="1" applyAlignment="1">
      <alignment horizontal="center" vertical="center"/>
    </xf>
    <xf numFmtId="14" fontId="1" fillId="0" borderId="66" xfId="0" applyNumberFormat="1" applyFont="1" applyBorder="1" applyAlignment="1">
      <alignment horizontal="center" vertical="center"/>
    </xf>
    <xf numFmtId="14" fontId="18" fillId="0" borderId="67" xfId="0" applyNumberFormat="1" applyFont="1" applyBorder="1" applyAlignment="1">
      <alignment horizontal="center" vertical="center"/>
    </xf>
    <xf numFmtId="14" fontId="18" fillId="0" borderId="42" xfId="0" applyNumberFormat="1" applyFont="1" applyBorder="1" applyAlignment="1">
      <alignment horizontal="center" vertical="center"/>
    </xf>
    <xf numFmtId="14" fontId="18" fillId="0" borderId="55" xfId="0" applyNumberFormat="1" applyFont="1" applyBorder="1" applyAlignment="1">
      <alignment horizontal="center" vertical="center"/>
    </xf>
    <xf numFmtId="14" fontId="18" fillId="0" borderId="54" xfId="0" applyNumberFormat="1" applyFont="1" applyBorder="1" applyAlignment="1">
      <alignment horizontal="center" vertical="center"/>
    </xf>
    <xf numFmtId="14" fontId="18" fillId="0" borderId="64" xfId="0" applyNumberFormat="1" applyFont="1" applyBorder="1" applyAlignment="1">
      <alignment horizontal="center" vertical="center"/>
    </xf>
    <xf numFmtId="14" fontId="1" fillId="0" borderId="54" xfId="0" applyNumberFormat="1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67" xfId="0" applyFont="1" applyBorder="1" applyAlignment="1">
      <alignment vertical="center"/>
    </xf>
    <xf numFmtId="0" fontId="10" fillId="0" borderId="67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left" vertical="center" wrapText="1"/>
    </xf>
    <xf numFmtId="0" fontId="10" fillId="0" borderId="56" xfId="0" applyFont="1" applyBorder="1" applyAlignment="1">
      <alignment horizontal="center" vertical="center" wrapText="1"/>
    </xf>
    <xf numFmtId="0" fontId="5" fillId="0" borderId="23" xfId="0" applyFont="1" applyBorder="1" applyAlignment="1">
      <alignment vertical="center"/>
    </xf>
    <xf numFmtId="0" fontId="5" fillId="0" borderId="42" xfId="0" applyFont="1" applyBorder="1" applyAlignment="1">
      <alignment horizontal="left" vertical="center"/>
    </xf>
    <xf numFmtId="0" fontId="5" fillId="0" borderId="66" xfId="0" applyFont="1" applyBorder="1" applyAlignment="1">
      <alignment horizontal="left" vertical="center"/>
    </xf>
    <xf numFmtId="0" fontId="5" fillId="7" borderId="66" xfId="0" applyFont="1" applyFill="1" applyBorder="1" applyAlignment="1">
      <alignment vertical="center"/>
    </xf>
    <xf numFmtId="0" fontId="5" fillId="0" borderId="65" xfId="0" applyFont="1" applyBorder="1" applyAlignment="1">
      <alignment horizontal="left" vertical="center"/>
    </xf>
    <xf numFmtId="0" fontId="5" fillId="0" borderId="67" xfId="0" applyFont="1" applyBorder="1" applyAlignment="1">
      <alignment horizontal="left" vertical="center"/>
    </xf>
    <xf numFmtId="0" fontId="5" fillId="0" borderId="65" xfId="0" applyFont="1" applyBorder="1" applyAlignment="1">
      <alignment horizontal="center" vertical="center"/>
    </xf>
    <xf numFmtId="0" fontId="5" fillId="2" borderId="75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5" fillId="0" borderId="42" xfId="0" applyFont="1" applyBorder="1" applyAlignment="1">
      <alignment vertical="center"/>
    </xf>
    <xf numFmtId="0" fontId="10" fillId="0" borderId="66" xfId="0" applyFont="1" applyBorder="1" applyAlignment="1">
      <alignment horizontal="left" vertical="center" wrapText="1"/>
    </xf>
    <xf numFmtId="0" fontId="5" fillId="2" borderId="70" xfId="0" applyFont="1" applyFill="1" applyBorder="1" applyAlignment="1">
      <alignment vertical="center"/>
    </xf>
    <xf numFmtId="0" fontId="5" fillId="2" borderId="77" xfId="0" applyFont="1" applyFill="1" applyBorder="1" applyAlignment="1">
      <alignment vertical="center"/>
    </xf>
    <xf numFmtId="0" fontId="10" fillId="0" borderId="113" xfId="0" applyFont="1" applyBorder="1" applyAlignment="1">
      <alignment horizontal="center" vertical="center" wrapText="1"/>
    </xf>
    <xf numFmtId="0" fontId="10" fillId="0" borderId="84" xfId="0" applyFont="1" applyBorder="1" applyAlignment="1">
      <alignment horizontal="center" vertical="center" wrapText="1"/>
    </xf>
    <xf numFmtId="14" fontId="7" fillId="0" borderId="84" xfId="0" applyNumberFormat="1" applyFont="1" applyBorder="1" applyAlignment="1">
      <alignment horizontal="center" vertical="center"/>
    </xf>
    <xf numFmtId="0" fontId="10" fillId="0" borderId="114" xfId="0" applyFont="1" applyBorder="1" applyAlignment="1">
      <alignment horizontal="center" vertical="center" wrapText="1"/>
    </xf>
    <xf numFmtId="14" fontId="7" fillId="2" borderId="68" xfId="0" applyNumberFormat="1" applyFont="1" applyFill="1" applyBorder="1" applyAlignment="1">
      <alignment horizontal="center" vertical="center"/>
    </xf>
    <xf numFmtId="14" fontId="7" fillId="2" borderId="85" xfId="0" applyNumberFormat="1" applyFont="1" applyFill="1" applyBorder="1" applyAlignment="1">
      <alignment horizontal="center" vertical="center"/>
    </xf>
    <xf numFmtId="14" fontId="7" fillId="2" borderId="114" xfId="0" applyNumberFormat="1" applyFont="1" applyFill="1" applyBorder="1" applyAlignment="1">
      <alignment horizontal="center" vertical="center"/>
    </xf>
    <xf numFmtId="0" fontId="10" fillId="2" borderId="44" xfId="0" applyFont="1" applyFill="1" applyBorder="1" applyAlignment="1">
      <alignment horizontal="left" vertical="center" wrapText="1"/>
    </xf>
    <xf numFmtId="0" fontId="10" fillId="2" borderId="42" xfId="0" applyFont="1" applyFill="1" applyBorder="1" applyAlignment="1">
      <alignment horizontal="left" vertical="center" wrapText="1"/>
    </xf>
    <xf numFmtId="0" fontId="10" fillId="0" borderId="77" xfId="0" applyFont="1" applyBorder="1" applyAlignment="1">
      <alignment horizontal="left" vertical="center" wrapText="1"/>
    </xf>
    <xf numFmtId="0" fontId="10" fillId="2" borderId="70" xfId="0" applyFont="1" applyFill="1" applyBorder="1" applyAlignment="1">
      <alignment horizontal="left" vertical="center" wrapText="1"/>
    </xf>
    <xf numFmtId="0" fontId="10" fillId="2" borderId="84" xfId="0" applyFont="1" applyFill="1" applyBorder="1" applyAlignment="1">
      <alignment horizontal="center" vertical="center" wrapText="1"/>
    </xf>
    <xf numFmtId="0" fontId="10" fillId="0" borderId="85" xfId="0" applyFont="1" applyBorder="1" applyAlignment="1">
      <alignment horizontal="center" vertical="center" wrapText="1"/>
    </xf>
    <xf numFmtId="0" fontId="10" fillId="2" borderId="114" xfId="0" applyFont="1" applyFill="1" applyBorder="1" applyAlignment="1">
      <alignment horizontal="center" vertical="center" wrapText="1"/>
    </xf>
    <xf numFmtId="0" fontId="10" fillId="2" borderId="68" xfId="0" applyFont="1" applyFill="1" applyBorder="1" applyAlignment="1">
      <alignment horizontal="center" vertical="center" wrapText="1"/>
    </xf>
    <xf numFmtId="14" fontId="7" fillId="2" borderId="42" xfId="0" applyNumberFormat="1" applyFont="1" applyFill="1" applyBorder="1" applyAlignment="1">
      <alignment horizontal="center" vertical="center"/>
    </xf>
    <xf numFmtId="0" fontId="10" fillId="2" borderId="67" xfId="0" applyFont="1" applyFill="1" applyBorder="1" applyAlignment="1">
      <alignment horizontal="left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8" borderId="42" xfId="0" applyFont="1" applyFill="1" applyBorder="1" applyAlignment="1">
      <alignment horizontal="left" vertical="center" wrapText="1"/>
    </xf>
    <xf numFmtId="14" fontId="7" fillId="8" borderId="42" xfId="0" applyNumberFormat="1" applyFont="1" applyFill="1" applyBorder="1" applyAlignment="1">
      <alignment horizontal="center" vertical="center"/>
    </xf>
    <xf numFmtId="0" fontId="10" fillId="0" borderId="54" xfId="0" applyFont="1" applyBorder="1" applyAlignment="1">
      <alignment horizontal="center" vertical="center" wrapText="1"/>
    </xf>
    <xf numFmtId="14" fontId="19" fillId="7" borderId="42" xfId="0" applyNumberFormat="1" applyFont="1" applyFill="1" applyBorder="1" applyAlignment="1">
      <alignment horizontal="center" vertical="center"/>
    </xf>
    <xf numFmtId="0" fontId="10" fillId="8" borderId="23" xfId="0" applyFont="1" applyFill="1" applyBorder="1" applyAlignment="1">
      <alignment horizontal="left" vertical="center" wrapText="1"/>
    </xf>
    <xf numFmtId="0" fontId="10" fillId="8" borderId="14" xfId="0" applyFont="1" applyFill="1" applyBorder="1" applyAlignment="1">
      <alignment horizontal="center" vertical="center" wrapText="1"/>
    </xf>
    <xf numFmtId="14" fontId="7" fillId="8" borderId="24" xfId="0" applyNumberFormat="1" applyFont="1" applyFill="1" applyBorder="1" applyAlignment="1">
      <alignment horizontal="center" vertical="center"/>
    </xf>
    <xf numFmtId="0" fontId="10" fillId="8" borderId="84" xfId="0" applyFont="1" applyFill="1" applyBorder="1" applyAlignment="1">
      <alignment horizontal="center" vertical="center" wrapText="1"/>
    </xf>
    <xf numFmtId="0" fontId="10" fillId="8" borderId="67" xfId="0" applyFont="1" applyFill="1" applyBorder="1" applyAlignment="1">
      <alignment horizontal="left" vertical="center" wrapText="1"/>
    </xf>
    <xf numFmtId="0" fontId="10" fillId="8" borderId="20" xfId="0" applyFont="1" applyFill="1" applyBorder="1" applyAlignment="1">
      <alignment horizontal="center" vertical="center" wrapText="1"/>
    </xf>
    <xf numFmtId="14" fontId="7" fillId="8" borderId="67" xfId="0" applyNumberFormat="1" applyFont="1" applyFill="1" applyBorder="1" applyAlignment="1">
      <alignment horizontal="center" vertical="center"/>
    </xf>
    <xf numFmtId="0" fontId="6" fillId="0" borderId="34" xfId="0" applyFont="1" applyBorder="1" applyAlignment="1">
      <alignment horizontal="left" vertical="center" wrapText="1"/>
    </xf>
    <xf numFmtId="0" fontId="6" fillId="0" borderId="103" xfId="0" applyFont="1" applyBorder="1" applyAlignment="1">
      <alignment horizontal="center" vertical="center" wrapText="1"/>
    </xf>
    <xf numFmtId="0" fontId="6" fillId="8" borderId="89" xfId="0" applyFont="1" applyFill="1" applyBorder="1" applyAlignment="1">
      <alignment horizontal="left" vertical="center" wrapText="1"/>
    </xf>
    <xf numFmtId="0" fontId="6" fillId="8" borderId="89" xfId="0" applyFont="1" applyFill="1" applyBorder="1" applyAlignment="1">
      <alignment horizontal="center" vertical="center" wrapText="1"/>
    </xf>
    <xf numFmtId="14" fontId="7" fillId="8" borderId="89" xfId="0" applyNumberFormat="1" applyFont="1" applyFill="1" applyBorder="1" applyAlignment="1">
      <alignment horizontal="center" vertical="center"/>
    </xf>
    <xf numFmtId="0" fontId="6" fillId="8" borderId="54" xfId="0" applyFont="1" applyFill="1" applyBorder="1" applyAlignment="1">
      <alignment horizontal="left" vertical="center" wrapText="1"/>
    </xf>
    <xf numFmtId="0" fontId="5" fillId="0" borderId="43" xfId="0" applyFont="1" applyBorder="1" applyAlignment="1">
      <alignment horizontal="left" vertical="center"/>
    </xf>
    <xf numFmtId="0" fontId="5" fillId="8" borderId="23" xfId="0" applyFont="1" applyFill="1" applyBorder="1" applyAlignment="1">
      <alignment vertical="center"/>
    </xf>
    <xf numFmtId="0" fontId="6" fillId="7" borderId="34" xfId="0" applyFont="1" applyFill="1" applyBorder="1" applyAlignment="1">
      <alignment horizontal="left" vertical="center" wrapText="1"/>
    </xf>
    <xf numFmtId="0" fontId="5" fillId="8" borderId="42" xfId="0" applyFont="1" applyFill="1" applyBorder="1" applyAlignment="1">
      <alignment horizontal="left" vertical="center"/>
    </xf>
    <xf numFmtId="0" fontId="5" fillId="8" borderId="42" xfId="0" applyFont="1" applyFill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49" fontId="1" fillId="0" borderId="71" xfId="0" applyNumberFormat="1" applyFont="1" applyBorder="1" applyAlignment="1">
      <alignment horizontal="center" vertical="center"/>
    </xf>
    <xf numFmtId="0" fontId="0" fillId="0" borderId="54" xfId="0" applyBorder="1"/>
    <xf numFmtId="0" fontId="5" fillId="7" borderId="89" xfId="0" applyFont="1" applyFill="1" applyBorder="1" applyAlignment="1">
      <alignment vertical="center"/>
    </xf>
    <xf numFmtId="0" fontId="6" fillId="0" borderId="102" xfId="0" applyFont="1" applyBorder="1" applyAlignment="1">
      <alignment horizontal="left" vertical="center" wrapText="1"/>
    </xf>
    <xf numFmtId="0" fontId="6" fillId="0" borderId="70" xfId="0" applyFont="1" applyBorder="1" applyAlignment="1">
      <alignment horizontal="center" vertical="center" wrapText="1"/>
    </xf>
    <xf numFmtId="0" fontId="6" fillId="7" borderId="49" xfId="0" applyFont="1" applyFill="1" applyBorder="1" applyAlignment="1">
      <alignment horizontal="left" vertical="center" wrapText="1"/>
    </xf>
    <xf numFmtId="0" fontId="17" fillId="0" borderId="64" xfId="0" applyFont="1" applyBorder="1" applyAlignment="1">
      <alignment vertical="center"/>
    </xf>
    <xf numFmtId="0" fontId="5" fillId="7" borderId="48" xfId="0" applyFont="1" applyFill="1" applyBorder="1" applyAlignment="1">
      <alignment vertical="center"/>
    </xf>
    <xf numFmtId="0" fontId="6" fillId="7" borderId="88" xfId="0" applyFont="1" applyFill="1" applyBorder="1" applyAlignment="1">
      <alignment horizontal="center" vertical="center" wrapText="1"/>
    </xf>
    <xf numFmtId="14" fontId="19" fillId="0" borderId="111" xfId="0" applyNumberFormat="1" applyFont="1" applyBorder="1" applyAlignment="1">
      <alignment horizontal="center" vertical="center"/>
    </xf>
    <xf numFmtId="14" fontId="7" fillId="7" borderId="76" xfId="0" applyNumberFormat="1" applyFont="1" applyFill="1" applyBorder="1" applyAlignment="1">
      <alignment horizontal="center" vertical="center"/>
    </xf>
    <xf numFmtId="14" fontId="19" fillId="0" borderId="64" xfId="0" applyNumberFormat="1" applyFont="1" applyBorder="1" applyAlignment="1">
      <alignment horizontal="center" vertical="center"/>
    </xf>
    <xf numFmtId="0" fontId="10" fillId="8" borderId="84" xfId="0" applyFont="1" applyFill="1" applyBorder="1" applyAlignment="1">
      <alignment horizontal="left" vertical="center" wrapText="1"/>
    </xf>
    <xf numFmtId="0" fontId="10" fillId="8" borderId="42" xfId="0" applyFont="1" applyFill="1" applyBorder="1" applyAlignment="1">
      <alignment horizontal="center" vertical="center" wrapText="1"/>
    </xf>
    <xf numFmtId="0" fontId="6" fillId="7" borderId="105" xfId="0" applyFont="1" applyFill="1" applyBorder="1" applyAlignment="1">
      <alignment horizontal="left" vertical="center" wrapText="1"/>
    </xf>
    <xf numFmtId="0" fontId="6" fillId="7" borderId="49" xfId="0" applyFont="1" applyFill="1" applyBorder="1" applyAlignment="1">
      <alignment horizontal="center" vertical="center" wrapText="1"/>
    </xf>
    <xf numFmtId="14" fontId="7" fillId="0" borderId="41" xfId="0" applyNumberFormat="1" applyFont="1" applyBorder="1" applyAlignment="1">
      <alignment horizontal="center" vertical="center"/>
    </xf>
    <xf numFmtId="0" fontId="5" fillId="0" borderId="41" xfId="0" applyFont="1" applyBorder="1" applyAlignment="1">
      <alignment horizontal="left" vertical="center"/>
    </xf>
    <xf numFmtId="0" fontId="5" fillId="0" borderId="41" xfId="0" applyFont="1" applyBorder="1" applyAlignment="1">
      <alignment horizontal="center" vertical="center"/>
    </xf>
    <xf numFmtId="14" fontId="7" fillId="0" borderId="102" xfId="0" applyNumberFormat="1" applyFont="1" applyBorder="1" applyAlignment="1">
      <alignment horizontal="center" vertical="center"/>
    </xf>
    <xf numFmtId="0" fontId="5" fillId="0" borderId="49" xfId="0" applyFont="1" applyBorder="1" applyAlignment="1">
      <alignment vertical="center"/>
    </xf>
    <xf numFmtId="14" fontId="7" fillId="0" borderId="68" xfId="0" applyNumberFormat="1" applyFont="1" applyBorder="1" applyAlignment="1">
      <alignment horizontal="center" vertical="center"/>
    </xf>
    <xf numFmtId="0" fontId="17" fillId="7" borderId="42" xfId="0" applyFont="1" applyFill="1" applyBorder="1" applyAlignment="1">
      <alignment vertical="center"/>
    </xf>
    <xf numFmtId="14" fontId="19" fillId="7" borderId="49" xfId="0" applyNumberFormat="1" applyFont="1" applyFill="1" applyBorder="1" applyAlignment="1">
      <alignment horizontal="center" vertical="center"/>
    </xf>
    <xf numFmtId="0" fontId="5" fillId="0" borderId="66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6" fillId="0" borderId="68" xfId="0" applyFont="1" applyBorder="1" applyAlignment="1">
      <alignment horizontal="left" vertical="center" wrapText="1"/>
    </xf>
    <xf numFmtId="0" fontId="1" fillId="0" borderId="99" xfId="0" applyFont="1" applyBorder="1" applyAlignment="1">
      <alignment horizontal="center" vertical="center"/>
    </xf>
    <xf numFmtId="0" fontId="17" fillId="0" borderId="65" xfId="0" applyFont="1" applyBorder="1" applyAlignment="1">
      <alignment horizontal="center" vertical="center"/>
    </xf>
    <xf numFmtId="0" fontId="5" fillId="0" borderId="92" xfId="0" applyFont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5" fillId="8" borderId="56" xfId="0" applyFont="1" applyFill="1" applyBorder="1" applyAlignment="1">
      <alignment vertical="center"/>
    </xf>
    <xf numFmtId="0" fontId="6" fillId="0" borderId="88" xfId="0" applyFont="1" applyBorder="1" applyAlignment="1">
      <alignment horizontal="center" vertical="center" wrapText="1"/>
    </xf>
    <xf numFmtId="0" fontId="5" fillId="0" borderId="100" xfId="0" applyFont="1" applyBorder="1" applyAlignment="1">
      <alignment vertical="center"/>
    </xf>
    <xf numFmtId="0" fontId="5" fillId="7" borderId="26" xfId="0" applyFont="1" applyFill="1" applyBorder="1" applyAlignment="1">
      <alignment horizontal="center" vertical="center"/>
    </xf>
    <xf numFmtId="0" fontId="6" fillId="7" borderId="106" xfId="0" applyFont="1" applyFill="1" applyBorder="1" applyAlignment="1">
      <alignment horizontal="left" vertical="center" wrapText="1"/>
    </xf>
    <xf numFmtId="0" fontId="6" fillId="7" borderId="64" xfId="0" applyFont="1" applyFill="1" applyBorder="1" applyAlignment="1">
      <alignment horizontal="center" vertical="center" wrapText="1"/>
    </xf>
    <xf numFmtId="0" fontId="5" fillId="7" borderId="45" xfId="0" applyFont="1" applyFill="1" applyBorder="1" applyAlignment="1">
      <alignment horizontal="center" vertical="center"/>
    </xf>
    <xf numFmtId="0" fontId="5" fillId="7" borderId="44" xfId="0" applyFont="1" applyFill="1" applyBorder="1" applyAlignment="1">
      <alignment horizontal="center" vertical="center"/>
    </xf>
    <xf numFmtId="14" fontId="5" fillId="7" borderId="42" xfId="0" applyNumberFormat="1" applyFont="1" applyFill="1" applyBorder="1" applyAlignment="1">
      <alignment horizontal="center" vertical="center"/>
    </xf>
    <xf numFmtId="14" fontId="5" fillId="7" borderId="66" xfId="0" applyNumberFormat="1" applyFont="1" applyFill="1" applyBorder="1" applyAlignment="1">
      <alignment horizontal="center" vertical="center"/>
    </xf>
    <xf numFmtId="0" fontId="23" fillId="7" borderId="42" xfId="0" applyFont="1" applyFill="1" applyBorder="1" applyAlignment="1">
      <alignment horizontal="center" vertical="center"/>
    </xf>
    <xf numFmtId="0" fontId="17" fillId="7" borderId="54" xfId="0" applyFont="1" applyFill="1" applyBorder="1" applyAlignment="1">
      <alignment horizontal="center" vertical="center"/>
    </xf>
    <xf numFmtId="0" fontId="5" fillId="7" borderId="49" xfId="0" applyFont="1" applyFill="1" applyBorder="1" applyAlignment="1">
      <alignment horizontal="center" vertical="center"/>
    </xf>
    <xf numFmtId="14" fontId="9" fillId="7" borderId="13" xfId="0" applyNumberFormat="1" applyFont="1" applyFill="1" applyBorder="1" applyAlignment="1">
      <alignment horizontal="center" vertical="center"/>
    </xf>
    <xf numFmtId="14" fontId="5" fillId="7" borderId="106" xfId="0" applyNumberFormat="1" applyFont="1" applyFill="1" applyBorder="1" applyAlignment="1">
      <alignment horizontal="center" vertical="center"/>
    </xf>
    <xf numFmtId="0" fontId="11" fillId="7" borderId="67" xfId="0" applyFont="1" applyFill="1" applyBorder="1" applyAlignment="1">
      <alignment vertical="center"/>
    </xf>
    <xf numFmtId="14" fontId="5" fillId="7" borderId="13" xfId="0" applyNumberFormat="1" applyFont="1" applyFill="1" applyBorder="1" applyAlignment="1">
      <alignment horizontal="center" vertical="center"/>
    </xf>
    <xf numFmtId="0" fontId="5" fillId="7" borderId="102" xfId="0" applyFont="1" applyFill="1" applyBorder="1" applyAlignment="1">
      <alignment vertical="center"/>
    </xf>
    <xf numFmtId="14" fontId="7" fillId="7" borderId="102" xfId="0" applyNumberFormat="1" applyFont="1" applyFill="1" applyBorder="1" applyAlignment="1">
      <alignment horizontal="center" vertical="center"/>
    </xf>
    <xf numFmtId="0" fontId="5" fillId="8" borderId="89" xfId="0" applyFont="1" applyFill="1" applyBorder="1" applyAlignment="1">
      <alignment vertical="center"/>
    </xf>
    <xf numFmtId="0" fontId="5" fillId="8" borderId="54" xfId="0" applyFont="1" applyFill="1" applyBorder="1" applyAlignment="1">
      <alignment horizontal="left" vertical="center"/>
    </xf>
    <xf numFmtId="0" fontId="17" fillId="0" borderId="64" xfId="0" applyFont="1" applyBorder="1" applyAlignment="1">
      <alignment horizontal="center" vertical="center"/>
    </xf>
    <xf numFmtId="0" fontId="23" fillId="0" borderId="66" xfId="0" applyFont="1" applyBorder="1" applyAlignment="1">
      <alignment horizontal="center" vertical="center"/>
    </xf>
    <xf numFmtId="0" fontId="5" fillId="8" borderId="89" xfId="0" applyFont="1" applyFill="1" applyBorder="1" applyAlignment="1">
      <alignment horizontal="center" vertical="center"/>
    </xf>
    <xf numFmtId="0" fontId="6" fillId="7" borderId="40" xfId="0" applyFont="1" applyFill="1" applyBorder="1" applyAlignment="1">
      <alignment horizontal="left" vertical="center" wrapText="1"/>
    </xf>
    <xf numFmtId="0" fontId="6" fillId="7" borderId="55" xfId="0" applyFont="1" applyFill="1" applyBorder="1" applyAlignment="1">
      <alignment horizontal="center" vertical="center" wrapText="1"/>
    </xf>
    <xf numFmtId="14" fontId="7" fillId="7" borderId="77" xfId="0" applyNumberFormat="1" applyFont="1" applyFill="1" applyBorder="1" applyAlignment="1">
      <alignment horizontal="center" vertical="center"/>
    </xf>
    <xf numFmtId="0" fontId="6" fillId="8" borderId="42" xfId="0" applyFont="1" applyFill="1" applyBorder="1" applyAlignment="1">
      <alignment horizontal="left" vertical="center" wrapText="1"/>
    </xf>
    <xf numFmtId="0" fontId="6" fillId="8" borderId="42" xfId="0" applyFont="1" applyFill="1" applyBorder="1" applyAlignment="1">
      <alignment horizontal="center" vertical="center" wrapText="1"/>
    </xf>
    <xf numFmtId="0" fontId="10" fillId="0" borderId="70" xfId="0" applyFont="1" applyBorder="1" applyAlignment="1">
      <alignment horizontal="left" vertical="center" wrapText="1"/>
    </xf>
    <xf numFmtId="14" fontId="19" fillId="7" borderId="67" xfId="0" applyNumberFormat="1" applyFont="1" applyFill="1" applyBorder="1" applyAlignment="1">
      <alignment horizontal="center" vertical="center"/>
    </xf>
    <xf numFmtId="0" fontId="5" fillId="9" borderId="26" xfId="0" applyFont="1" applyFill="1" applyBorder="1" applyAlignment="1">
      <alignment horizontal="center" vertical="center"/>
    </xf>
    <xf numFmtId="0" fontId="5" fillId="9" borderId="93" xfId="0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horizontal="center" vertical="center"/>
    </xf>
    <xf numFmtId="0" fontId="5" fillId="9" borderId="42" xfId="0" applyFont="1" applyFill="1" applyBorder="1" applyAlignment="1">
      <alignment horizontal="center" vertical="center"/>
    </xf>
    <xf numFmtId="0" fontId="5" fillId="9" borderId="54" xfId="0" applyFont="1" applyFill="1" applyBorder="1" applyAlignment="1">
      <alignment horizontal="center" vertical="center"/>
    </xf>
    <xf numFmtId="0" fontId="5" fillId="9" borderId="64" xfId="0" applyFont="1" applyFill="1" applyBorder="1" applyAlignment="1">
      <alignment horizontal="center" vertical="center"/>
    </xf>
    <xf numFmtId="14" fontId="5" fillId="9" borderId="54" xfId="0" applyNumberFormat="1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9" borderId="23" xfId="0" applyFont="1" applyFill="1" applyBorder="1" applyAlignment="1">
      <alignment horizontal="center" vertical="center"/>
    </xf>
    <xf numFmtId="14" fontId="5" fillId="9" borderId="23" xfId="0" applyNumberFormat="1" applyFont="1" applyFill="1" applyBorder="1" applyAlignment="1">
      <alignment horizontal="center" vertical="center"/>
    </xf>
    <xf numFmtId="14" fontId="18" fillId="0" borderId="65" xfId="0" applyNumberFormat="1" applyFont="1" applyBorder="1" applyAlignment="1">
      <alignment horizontal="center" vertical="center"/>
    </xf>
    <xf numFmtId="0" fontId="5" fillId="0" borderId="57" xfId="0" applyFont="1" applyBorder="1" applyAlignment="1">
      <alignment horizontal="left" vertical="center"/>
    </xf>
    <xf numFmtId="14" fontId="7" fillId="0" borderId="80" xfId="0" applyNumberFormat="1" applyFont="1" applyBorder="1" applyAlignment="1">
      <alignment horizontal="center" vertical="center"/>
    </xf>
    <xf numFmtId="0" fontId="17" fillId="0" borderId="48" xfId="0" applyFont="1" applyBorder="1" applyAlignment="1">
      <alignment vertical="center"/>
    </xf>
    <xf numFmtId="0" fontId="5" fillId="10" borderId="14" xfId="0" applyFont="1" applyFill="1" applyBorder="1" applyAlignment="1">
      <alignment horizontal="center" vertical="center"/>
    </xf>
    <xf numFmtId="0" fontId="5" fillId="10" borderId="54" xfId="0" applyFont="1" applyFill="1" applyBorder="1" applyAlignment="1">
      <alignment horizontal="center" vertical="center"/>
    </xf>
    <xf numFmtId="0" fontId="5" fillId="10" borderId="55" xfId="0" applyFont="1" applyFill="1" applyBorder="1" applyAlignment="1">
      <alignment horizontal="center" vertical="center"/>
    </xf>
    <xf numFmtId="0" fontId="5" fillId="10" borderId="74" xfId="0" applyFont="1" applyFill="1" applyBorder="1" applyAlignment="1">
      <alignment horizontal="center" vertical="center"/>
    </xf>
    <xf numFmtId="0" fontId="5" fillId="10" borderId="23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49" fontId="1" fillId="0" borderId="39" xfId="0" applyNumberFormat="1" applyFont="1" applyBorder="1" applyAlignment="1">
      <alignment horizontal="center" vertical="center"/>
    </xf>
    <xf numFmtId="14" fontId="19" fillId="0" borderId="67" xfId="0" applyNumberFormat="1" applyFont="1" applyBorder="1" applyAlignment="1">
      <alignment horizontal="center" vertical="center"/>
    </xf>
    <xf numFmtId="0" fontId="6" fillId="7" borderId="68" xfId="0" applyFont="1" applyFill="1" applyBorder="1" applyAlignment="1">
      <alignment horizontal="center" vertical="center" wrapText="1"/>
    </xf>
    <xf numFmtId="0" fontId="1" fillId="0" borderId="115" xfId="0" applyFont="1" applyBorder="1" applyAlignment="1">
      <alignment horizontal="center" vertical="center" wrapText="1"/>
    </xf>
    <xf numFmtId="0" fontId="4" fillId="0" borderId="116" xfId="0" applyFont="1" applyBorder="1" applyAlignment="1">
      <alignment horizontal="center" vertical="center" wrapText="1"/>
    </xf>
    <xf numFmtId="0" fontId="1" fillId="0" borderId="109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left" vertical="center" wrapText="1"/>
    </xf>
    <xf numFmtId="0" fontId="6" fillId="0" borderId="67" xfId="0" applyFont="1" applyBorder="1" applyAlignment="1">
      <alignment horizontal="left" vertical="center" wrapText="1"/>
    </xf>
    <xf numFmtId="0" fontId="17" fillId="0" borderId="67" xfId="0" applyFont="1" applyBorder="1" applyAlignment="1">
      <alignment vertical="center"/>
    </xf>
    <xf numFmtId="14" fontId="19" fillId="0" borderId="56" xfId="0" applyNumberFormat="1" applyFont="1" applyBorder="1" applyAlignment="1">
      <alignment horizontal="center" vertical="center"/>
    </xf>
    <xf numFmtId="14" fontId="19" fillId="7" borderId="56" xfId="0" applyNumberFormat="1" applyFont="1" applyFill="1" applyBorder="1" applyAlignment="1">
      <alignment horizontal="center" vertical="center"/>
    </xf>
    <xf numFmtId="14" fontId="19" fillId="0" borderId="20" xfId="0" applyNumberFormat="1" applyFont="1" applyBorder="1" applyAlignment="1">
      <alignment horizontal="center" vertical="center"/>
    </xf>
    <xf numFmtId="14" fontId="19" fillId="0" borderId="51" xfId="0" applyNumberFormat="1" applyFont="1" applyBorder="1" applyAlignment="1">
      <alignment horizontal="center" vertical="center"/>
    </xf>
    <xf numFmtId="0" fontId="17" fillId="7" borderId="67" xfId="0" applyFont="1" applyFill="1" applyBorder="1" applyAlignment="1">
      <alignment vertical="center"/>
    </xf>
    <xf numFmtId="0" fontId="17" fillId="7" borderId="48" xfId="0" applyFont="1" applyFill="1" applyBorder="1" applyAlignment="1">
      <alignment vertical="center"/>
    </xf>
    <xf numFmtId="14" fontId="19" fillId="7" borderId="48" xfId="0" applyNumberFormat="1" applyFont="1" applyFill="1" applyBorder="1" applyAlignment="1">
      <alignment horizontal="center" vertical="center"/>
    </xf>
    <xf numFmtId="0" fontId="5" fillId="7" borderId="77" xfId="0" applyFont="1" applyFill="1" applyBorder="1" applyAlignment="1">
      <alignment vertical="center"/>
    </xf>
    <xf numFmtId="0" fontId="1" fillId="0" borderId="46" xfId="0" applyFont="1" applyBorder="1" applyAlignment="1">
      <alignment horizontal="center" vertical="center" wrapText="1"/>
    </xf>
    <xf numFmtId="0" fontId="5" fillId="0" borderId="34" xfId="0" applyFont="1" applyBorder="1" applyAlignment="1">
      <alignment vertical="center"/>
    </xf>
    <xf numFmtId="14" fontId="7" fillId="0" borderId="103" xfId="0" applyNumberFormat="1" applyFont="1" applyBorder="1" applyAlignment="1">
      <alignment horizontal="center" vertical="center"/>
    </xf>
    <xf numFmtId="0" fontId="5" fillId="0" borderId="48" xfId="0" applyFont="1" applyBorder="1" applyAlignment="1">
      <alignment vertical="center"/>
    </xf>
    <xf numFmtId="14" fontId="1" fillId="9" borderId="24" xfId="0" applyNumberFormat="1" applyFont="1" applyFill="1" applyBorder="1" applyAlignment="1">
      <alignment horizontal="center" vertical="center"/>
    </xf>
    <xf numFmtId="14" fontId="1" fillId="9" borderId="42" xfId="0" applyNumberFormat="1" applyFont="1" applyFill="1" applyBorder="1" applyAlignment="1">
      <alignment horizontal="center" vertical="center"/>
    </xf>
    <xf numFmtId="0" fontId="5" fillId="8" borderId="42" xfId="0" applyFont="1" applyFill="1" applyBorder="1" applyAlignment="1">
      <alignment vertical="center"/>
    </xf>
    <xf numFmtId="14" fontId="1" fillId="9" borderId="14" xfId="0" applyNumberFormat="1" applyFont="1" applyFill="1" applyBorder="1" applyAlignment="1">
      <alignment horizontal="center" vertical="center"/>
    </xf>
    <xf numFmtId="0" fontId="10" fillId="2" borderId="54" xfId="0" applyFont="1" applyFill="1" applyBorder="1" applyAlignment="1">
      <alignment horizontal="left" vertical="center" wrapText="1"/>
    </xf>
    <xf numFmtId="0" fontId="10" fillId="2" borderId="56" xfId="0" applyFont="1" applyFill="1" applyBorder="1" applyAlignment="1">
      <alignment horizontal="center" vertical="center" wrapText="1"/>
    </xf>
    <xf numFmtId="0" fontId="6" fillId="8" borderId="23" xfId="0" applyFont="1" applyFill="1" applyBorder="1" applyAlignment="1">
      <alignment horizontal="left" vertical="center" wrapText="1"/>
    </xf>
    <xf numFmtId="0" fontId="6" fillId="7" borderId="77" xfId="0" applyFont="1" applyFill="1" applyBorder="1" applyAlignment="1">
      <alignment horizontal="center" vertical="center" wrapText="1"/>
    </xf>
    <xf numFmtId="0" fontId="6" fillId="0" borderId="53" xfId="0" applyFont="1" applyBorder="1" applyAlignment="1">
      <alignment horizontal="left" vertical="center" wrapText="1"/>
    </xf>
    <xf numFmtId="0" fontId="6" fillId="0" borderId="48" xfId="0" applyFont="1" applyBorder="1" applyAlignment="1">
      <alignment horizontal="center" vertical="center" wrapText="1"/>
    </xf>
    <xf numFmtId="0" fontId="2" fillId="0" borderId="30" xfId="0" applyFont="1" applyBorder="1"/>
    <xf numFmtId="0" fontId="5" fillId="8" borderId="70" xfId="0" applyFont="1" applyFill="1" applyBorder="1" applyAlignment="1">
      <alignment vertical="center"/>
    </xf>
    <xf numFmtId="14" fontId="7" fillId="8" borderId="70" xfId="0" applyNumberFormat="1" applyFont="1" applyFill="1" applyBorder="1" applyAlignment="1">
      <alignment horizontal="center" vertical="center"/>
    </xf>
    <xf numFmtId="14" fontId="19" fillId="8" borderId="70" xfId="0" applyNumberFormat="1" applyFont="1" applyFill="1" applyBorder="1" applyAlignment="1">
      <alignment horizontal="center" vertical="center"/>
    </xf>
    <xf numFmtId="0" fontId="10" fillId="8" borderId="49" xfId="0" applyFont="1" applyFill="1" applyBorder="1" applyAlignment="1">
      <alignment horizontal="left" vertical="center" wrapText="1"/>
    </xf>
    <xf numFmtId="0" fontId="10" fillId="8" borderId="49" xfId="0" applyFont="1" applyFill="1" applyBorder="1" applyAlignment="1">
      <alignment horizontal="center" vertical="center" wrapText="1"/>
    </xf>
    <xf numFmtId="14" fontId="7" fillId="8" borderId="50" xfId="0" applyNumberFormat="1" applyFont="1" applyFill="1" applyBorder="1" applyAlignment="1">
      <alignment horizontal="center" vertical="center"/>
    </xf>
    <xf numFmtId="0" fontId="11" fillId="7" borderId="66" xfId="0" applyFont="1" applyFill="1" applyBorder="1" applyAlignment="1">
      <alignment vertical="center"/>
    </xf>
    <xf numFmtId="0" fontId="5" fillId="8" borderId="54" xfId="0" applyFont="1" applyFill="1" applyBorder="1" applyAlignment="1">
      <alignment horizontal="center" vertical="center"/>
    </xf>
    <xf numFmtId="14" fontId="7" fillId="7" borderId="64" xfId="0" applyNumberFormat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5" fillId="9" borderId="39" xfId="0" applyFont="1" applyFill="1" applyBorder="1" applyAlignment="1">
      <alignment horizontal="center" vertical="center"/>
    </xf>
    <xf numFmtId="14" fontId="18" fillId="7" borderId="90" xfId="0" applyNumberFormat="1" applyFont="1" applyFill="1" applyBorder="1" applyAlignment="1">
      <alignment horizontal="center" vertical="center"/>
    </xf>
    <xf numFmtId="0" fontId="5" fillId="7" borderId="93" xfId="0" applyFont="1" applyFill="1" applyBorder="1" applyAlignment="1">
      <alignment horizontal="center" vertical="center"/>
    </xf>
    <xf numFmtId="0" fontId="6" fillId="7" borderId="91" xfId="0" applyFont="1" applyFill="1" applyBorder="1" applyAlignment="1">
      <alignment horizontal="left" vertical="center" wrapText="1"/>
    </xf>
    <xf numFmtId="0" fontId="6" fillId="7" borderId="65" xfId="0" applyFont="1" applyFill="1" applyBorder="1" applyAlignment="1">
      <alignment horizontal="center" vertical="center" wrapText="1"/>
    </xf>
    <xf numFmtId="14" fontId="7" fillId="7" borderId="65" xfId="0" applyNumberFormat="1" applyFont="1" applyFill="1" applyBorder="1" applyAlignment="1">
      <alignment horizontal="center" vertical="center"/>
    </xf>
    <xf numFmtId="0" fontId="6" fillId="7" borderId="80" xfId="0" applyFont="1" applyFill="1" applyBorder="1" applyAlignment="1">
      <alignment horizontal="left" vertical="center" wrapText="1"/>
    </xf>
    <xf numFmtId="0" fontId="6" fillId="7" borderId="87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30" xfId="0" applyFont="1" applyBorder="1"/>
    <xf numFmtId="0" fontId="8" fillId="0" borderId="58" xfId="0" applyFont="1" applyBorder="1" applyAlignment="1">
      <alignment horizontal="left" vertical="center"/>
    </xf>
    <xf numFmtId="0" fontId="2" fillId="0" borderId="59" xfId="0" applyFont="1" applyBorder="1"/>
    <xf numFmtId="0" fontId="1" fillId="0" borderId="79" xfId="0" applyFont="1" applyBorder="1" applyAlignment="1">
      <alignment horizontal="center" vertical="center"/>
    </xf>
    <xf numFmtId="0" fontId="2" fillId="0" borderId="62" xfId="0" applyFont="1" applyBorder="1"/>
    <xf numFmtId="0" fontId="1" fillId="0" borderId="15" xfId="0" applyFont="1" applyBorder="1" applyAlignment="1">
      <alignment horizontal="left" vertical="top"/>
    </xf>
    <xf numFmtId="0" fontId="0" fillId="0" borderId="0" xfId="0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8" fillId="0" borderId="80" xfId="0" applyFont="1" applyBorder="1" applyAlignment="1">
      <alignment horizontal="left" vertical="center"/>
    </xf>
    <xf numFmtId="0" fontId="2" fillId="0" borderId="90" xfId="0" applyFont="1" applyBorder="1"/>
    <xf numFmtId="0" fontId="1" fillId="0" borderId="91" xfId="0" applyFont="1" applyBorder="1" applyAlignment="1">
      <alignment horizontal="center" vertical="center"/>
    </xf>
    <xf numFmtId="0" fontId="2" fillId="0" borderId="92" xfId="0" applyFont="1" applyBorder="1"/>
    <xf numFmtId="0" fontId="2" fillId="0" borderId="32" xfId="0" applyFont="1" applyBorder="1"/>
    <xf numFmtId="0" fontId="2" fillId="0" borderId="93" xfId="0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41" xfId="0" applyFont="1" applyBorder="1" applyAlignment="1">
      <alignment horizontal="center" vertical="center" wrapText="1"/>
    </xf>
    <xf numFmtId="0" fontId="2" fillId="0" borderId="67" xfId="0" applyFont="1" applyBorder="1"/>
    <xf numFmtId="0" fontId="1" fillId="0" borderId="5" xfId="0" applyFont="1" applyBorder="1" applyAlignment="1">
      <alignment horizontal="center" vertical="center" wrapText="1"/>
    </xf>
    <xf numFmtId="0" fontId="2" fillId="0" borderId="20" xfId="0" applyFont="1" applyBorder="1"/>
    <xf numFmtId="0" fontId="8" fillId="0" borderId="79" xfId="0" applyFont="1" applyBorder="1" applyAlignment="1">
      <alignment horizontal="left" vertical="center"/>
    </xf>
    <xf numFmtId="0" fontId="1" fillId="0" borderId="97" xfId="0" applyFont="1" applyBorder="1" applyAlignment="1">
      <alignment horizontal="left" vertical="top"/>
    </xf>
    <xf numFmtId="0" fontId="0" fillId="0" borderId="98" xfId="0" applyBorder="1"/>
    <xf numFmtId="0" fontId="2" fillId="0" borderId="82" xfId="0" applyFont="1" applyBorder="1"/>
    <xf numFmtId="0" fontId="2" fillId="0" borderId="87" xfId="0" applyFont="1" applyBorder="1"/>
    <xf numFmtId="0" fontId="2" fillId="0" borderId="80" xfId="0" applyFont="1" applyBorder="1"/>
    <xf numFmtId="0" fontId="2" fillId="0" borderId="11" xfId="0" applyFont="1" applyBorder="1"/>
    <xf numFmtId="0" fontId="1" fillId="0" borderId="8" xfId="0" applyFont="1" applyBorder="1" applyAlignment="1">
      <alignment horizontal="center" vertical="center" wrapText="1"/>
    </xf>
    <xf numFmtId="0" fontId="2" fillId="0" borderId="9" xfId="0" applyFont="1" applyBorder="1"/>
    <xf numFmtId="0" fontId="8" fillId="0" borderId="96" xfId="0" applyFont="1" applyBorder="1" applyAlignment="1">
      <alignment horizontal="left" vertic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8" fillId="0" borderId="15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1" fillId="0" borderId="31" xfId="0" applyFont="1" applyBorder="1" applyAlignment="1">
      <alignment horizontal="center" vertical="center" wrapText="1"/>
    </xf>
    <xf numFmtId="0" fontId="1" fillId="0" borderId="11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2" fillId="0" borderId="8" xfId="0" applyFont="1" applyBorder="1"/>
    <xf numFmtId="0" fontId="1" fillId="0" borderId="118" xfId="0" applyFont="1" applyBorder="1" applyAlignment="1">
      <alignment horizontal="center" vertical="center" wrapText="1"/>
    </xf>
    <xf numFmtId="0" fontId="2" fillId="0" borderId="119" xfId="0" applyFont="1" applyBorder="1"/>
    <xf numFmtId="0" fontId="2" fillId="0" borderId="13" xfId="0" applyFont="1" applyBorder="1"/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0" fillId="8" borderId="67" xfId="0" applyFont="1" applyFill="1" applyBorder="1" applyAlignment="1">
      <alignment horizontal="center" vertical="center" wrapText="1"/>
    </xf>
    <xf numFmtId="0" fontId="10" fillId="10" borderId="54" xfId="0" applyFont="1" applyFill="1" applyBorder="1" applyAlignment="1">
      <alignment horizontal="left" vertical="center" wrapText="1"/>
    </xf>
    <xf numFmtId="0" fontId="5" fillId="0" borderId="23" xfId="0" applyFont="1" applyFill="1" applyBorder="1" applyAlignment="1">
      <alignment horizontal="center" vertical="center"/>
    </xf>
    <xf numFmtId="0" fontId="5" fillId="7" borderId="64" xfId="0" applyFont="1" applyFill="1" applyBorder="1" applyAlignment="1">
      <alignment horizontal="left" vertical="center"/>
    </xf>
    <xf numFmtId="0" fontId="5" fillId="7" borderId="64" xfId="0" applyFont="1" applyFill="1" applyBorder="1" applyAlignment="1">
      <alignment horizontal="center" vertical="center"/>
    </xf>
    <xf numFmtId="14" fontId="1" fillId="0" borderId="69" xfId="0" applyNumberFormat="1" applyFont="1" applyFill="1" applyBorder="1" applyAlignment="1">
      <alignment horizontal="center" vertical="center"/>
    </xf>
    <xf numFmtId="0" fontId="23" fillId="0" borderId="23" xfId="0" applyFont="1" applyFill="1" applyBorder="1" applyAlignment="1">
      <alignment horizontal="center" vertical="center"/>
    </xf>
    <xf numFmtId="14" fontId="1" fillId="0" borderId="14" xfId="0" applyNumberFormat="1" applyFont="1" applyFill="1" applyBorder="1" applyAlignment="1">
      <alignment horizontal="center" vertical="center"/>
    </xf>
    <xf numFmtId="14" fontId="1" fillId="0" borderId="94" xfId="0" applyNumberFormat="1" applyFont="1" applyFill="1" applyBorder="1" applyAlignment="1">
      <alignment horizontal="center" vertical="center"/>
    </xf>
    <xf numFmtId="0" fontId="5" fillId="0" borderId="106" xfId="0" applyFont="1" applyFill="1" applyBorder="1" applyAlignment="1">
      <alignment horizontal="center" vertical="center"/>
    </xf>
  </cellXfs>
  <cellStyles count="1">
    <cellStyle name="Normal" xfId="0" builtinId="0"/>
  </cellStyles>
  <dxfs count="63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466725" cy="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466725" cy="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466725" cy="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466725" cy="0"/>
    <xdr:pic>
      <xdr:nvPicPr>
        <xdr:cNvPr id="6" name="image2.png">
          <a:extLst>
            <a:ext uri="{FF2B5EF4-FFF2-40B4-BE49-F238E27FC236}">
              <a16:creationId xmlns:a16="http://schemas.microsoft.com/office/drawing/2014/main" id="{81A5E009-EE1E-4983-A92F-D526CE2EA4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1171575"/>
          <a:ext cx="4667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7" name="image1.png">
          <a:extLst>
            <a:ext uri="{FF2B5EF4-FFF2-40B4-BE49-F238E27FC236}">
              <a16:creationId xmlns:a16="http://schemas.microsoft.com/office/drawing/2014/main" id="{966C725D-20AC-4428-A0FA-8F4FBCC4956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150" y="85725"/>
          <a:ext cx="619125" cy="7524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466725" cy="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466725" cy="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466725" cy="0"/>
    <xdr:pic>
      <xdr:nvPicPr>
        <xdr:cNvPr id="2" name="image2.png">
          <a:extLst>
            <a:ext uri="{FF2B5EF4-FFF2-40B4-BE49-F238E27FC236}">
              <a16:creationId xmlns:a16="http://schemas.microsoft.com/office/drawing/2014/main" id="{CF208F7E-BC68-4BF7-B75D-3DD4A4AA1D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1171575"/>
          <a:ext cx="4667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3" name="image1.png">
          <a:extLst>
            <a:ext uri="{FF2B5EF4-FFF2-40B4-BE49-F238E27FC236}">
              <a16:creationId xmlns:a16="http://schemas.microsoft.com/office/drawing/2014/main" id="{1709BE7A-7DE4-4437-BA9D-B5232AB1E87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150" y="85725"/>
          <a:ext cx="619125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466725" cy="0"/>
    <xdr:pic>
      <xdr:nvPicPr>
        <xdr:cNvPr id="4" name="image2.png">
          <a:extLst>
            <a:ext uri="{FF2B5EF4-FFF2-40B4-BE49-F238E27FC236}">
              <a16:creationId xmlns:a16="http://schemas.microsoft.com/office/drawing/2014/main" id="{D6BFADCB-87A3-4AC0-ABCC-B8ED0690DC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1171575"/>
          <a:ext cx="4667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5" name="image1.png">
          <a:extLst>
            <a:ext uri="{FF2B5EF4-FFF2-40B4-BE49-F238E27FC236}">
              <a16:creationId xmlns:a16="http://schemas.microsoft.com/office/drawing/2014/main" id="{D16BC18C-AF73-4FC2-BDFA-2C111AF3E1D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150" y="85725"/>
          <a:ext cx="619125" cy="7524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466725" cy="0"/>
    <xdr:pic>
      <xdr:nvPicPr>
        <xdr:cNvPr id="2" name="image2.png">
          <a:extLst>
            <a:ext uri="{FF2B5EF4-FFF2-40B4-BE49-F238E27FC236}">
              <a16:creationId xmlns:a16="http://schemas.microsoft.com/office/drawing/2014/main" id="{E4811001-09A1-460B-91AD-46918CACB5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1171575"/>
          <a:ext cx="4667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3" name="image1.png">
          <a:extLst>
            <a:ext uri="{FF2B5EF4-FFF2-40B4-BE49-F238E27FC236}">
              <a16:creationId xmlns:a16="http://schemas.microsoft.com/office/drawing/2014/main" id="{D93488B4-EB04-46FB-B902-64940579CA2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150" y="85725"/>
          <a:ext cx="619125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466725" cy="0"/>
    <xdr:pic>
      <xdr:nvPicPr>
        <xdr:cNvPr id="4" name="image2.png">
          <a:extLst>
            <a:ext uri="{FF2B5EF4-FFF2-40B4-BE49-F238E27FC236}">
              <a16:creationId xmlns:a16="http://schemas.microsoft.com/office/drawing/2014/main" id="{F98A2033-8E0B-4254-8BF4-F7449B3792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1171575"/>
          <a:ext cx="4667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5" name="image1.png">
          <a:extLst>
            <a:ext uri="{FF2B5EF4-FFF2-40B4-BE49-F238E27FC236}">
              <a16:creationId xmlns:a16="http://schemas.microsoft.com/office/drawing/2014/main" id="{26A08A3F-B49D-438D-9202-8E66CC4E583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150" y="85725"/>
          <a:ext cx="619125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466725" cy="0"/>
    <xdr:pic>
      <xdr:nvPicPr>
        <xdr:cNvPr id="8" name="image2.png">
          <a:extLst>
            <a:ext uri="{FF2B5EF4-FFF2-40B4-BE49-F238E27FC236}">
              <a16:creationId xmlns:a16="http://schemas.microsoft.com/office/drawing/2014/main" id="{D937A10E-588B-4A8F-9F43-0C835C5C62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1171575"/>
          <a:ext cx="4667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9" name="image1.png">
          <a:extLst>
            <a:ext uri="{FF2B5EF4-FFF2-40B4-BE49-F238E27FC236}">
              <a16:creationId xmlns:a16="http://schemas.microsoft.com/office/drawing/2014/main" id="{398A2CDC-CB90-44F0-B692-5315B4592C5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150" y="85725"/>
          <a:ext cx="619125" cy="7524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466725" cy="0"/>
    <xdr:pic>
      <xdr:nvPicPr>
        <xdr:cNvPr id="2" name="image2.png">
          <a:extLst>
            <a:ext uri="{FF2B5EF4-FFF2-40B4-BE49-F238E27FC236}">
              <a16:creationId xmlns:a16="http://schemas.microsoft.com/office/drawing/2014/main" id="{BDBDD9A0-491A-46E6-AC14-F3E4729D3C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1171575"/>
          <a:ext cx="4667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3" name="image1.png">
          <a:extLst>
            <a:ext uri="{FF2B5EF4-FFF2-40B4-BE49-F238E27FC236}">
              <a16:creationId xmlns:a16="http://schemas.microsoft.com/office/drawing/2014/main" id="{1EC395D4-8A18-429C-928B-AF413214C0F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150" y="85725"/>
          <a:ext cx="619125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466725" cy="0"/>
    <xdr:pic>
      <xdr:nvPicPr>
        <xdr:cNvPr id="4" name="image2.png">
          <a:extLst>
            <a:ext uri="{FF2B5EF4-FFF2-40B4-BE49-F238E27FC236}">
              <a16:creationId xmlns:a16="http://schemas.microsoft.com/office/drawing/2014/main" id="{62A5DA96-5E0F-489D-AD71-483E5063AF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1171575"/>
          <a:ext cx="4667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5" name="image1.png">
          <a:extLst>
            <a:ext uri="{FF2B5EF4-FFF2-40B4-BE49-F238E27FC236}">
              <a16:creationId xmlns:a16="http://schemas.microsoft.com/office/drawing/2014/main" id="{A663C4B0-7132-4FC7-9124-9990FCEAC35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150" y="85725"/>
          <a:ext cx="619125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466725" cy="0"/>
    <xdr:pic>
      <xdr:nvPicPr>
        <xdr:cNvPr id="6" name="image2.png">
          <a:extLst>
            <a:ext uri="{FF2B5EF4-FFF2-40B4-BE49-F238E27FC236}">
              <a16:creationId xmlns:a16="http://schemas.microsoft.com/office/drawing/2014/main" id="{4A4D7F93-D190-4147-B74E-A2FD08E944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1171575"/>
          <a:ext cx="4667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7" name="image1.png">
          <a:extLst>
            <a:ext uri="{FF2B5EF4-FFF2-40B4-BE49-F238E27FC236}">
              <a16:creationId xmlns:a16="http://schemas.microsoft.com/office/drawing/2014/main" id="{76699365-3437-4D9D-98A4-9A63A6BFCDE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150" y="85725"/>
          <a:ext cx="619125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466725" cy="0"/>
    <xdr:pic>
      <xdr:nvPicPr>
        <xdr:cNvPr id="8" name="image2.png">
          <a:extLst>
            <a:ext uri="{FF2B5EF4-FFF2-40B4-BE49-F238E27FC236}">
              <a16:creationId xmlns:a16="http://schemas.microsoft.com/office/drawing/2014/main" id="{AED69AF3-CCC2-4929-9BA8-1544362E37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1171575"/>
          <a:ext cx="4667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9" name="image1.png">
          <a:extLst>
            <a:ext uri="{FF2B5EF4-FFF2-40B4-BE49-F238E27FC236}">
              <a16:creationId xmlns:a16="http://schemas.microsoft.com/office/drawing/2014/main" id="{DFFC53FE-2C27-4E7D-8B73-582111D2CFE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150" y="85725"/>
          <a:ext cx="619125" cy="7524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466725" cy="0"/>
    <xdr:pic>
      <xdr:nvPicPr>
        <xdr:cNvPr id="2" name="image2.png">
          <a:extLst>
            <a:ext uri="{FF2B5EF4-FFF2-40B4-BE49-F238E27FC236}">
              <a16:creationId xmlns:a16="http://schemas.microsoft.com/office/drawing/2014/main" id="{EF377616-6246-42C1-9679-32F46AF8DE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1171575"/>
          <a:ext cx="4667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3" name="image1.png">
          <a:extLst>
            <a:ext uri="{FF2B5EF4-FFF2-40B4-BE49-F238E27FC236}">
              <a16:creationId xmlns:a16="http://schemas.microsoft.com/office/drawing/2014/main" id="{8D6E540C-FB1D-4A1E-A1E6-22DE6855D4B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150" y="85725"/>
          <a:ext cx="619125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466725" cy="0"/>
    <xdr:pic>
      <xdr:nvPicPr>
        <xdr:cNvPr id="4" name="image2.png">
          <a:extLst>
            <a:ext uri="{FF2B5EF4-FFF2-40B4-BE49-F238E27FC236}">
              <a16:creationId xmlns:a16="http://schemas.microsoft.com/office/drawing/2014/main" id="{B9F47B72-43B3-43C4-A4DB-B274DF4D3E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1171575"/>
          <a:ext cx="4667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5" name="image1.png">
          <a:extLst>
            <a:ext uri="{FF2B5EF4-FFF2-40B4-BE49-F238E27FC236}">
              <a16:creationId xmlns:a16="http://schemas.microsoft.com/office/drawing/2014/main" id="{D7A57330-2F5A-42F0-8DE6-BC650D6E233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150" y="85725"/>
          <a:ext cx="619125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466725" cy="0"/>
    <xdr:pic>
      <xdr:nvPicPr>
        <xdr:cNvPr id="6" name="image2.png">
          <a:extLst>
            <a:ext uri="{FF2B5EF4-FFF2-40B4-BE49-F238E27FC236}">
              <a16:creationId xmlns:a16="http://schemas.microsoft.com/office/drawing/2014/main" id="{2CCF2FA8-8EA0-49CF-90DC-8435802B94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1171575"/>
          <a:ext cx="4667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7" name="image1.png">
          <a:extLst>
            <a:ext uri="{FF2B5EF4-FFF2-40B4-BE49-F238E27FC236}">
              <a16:creationId xmlns:a16="http://schemas.microsoft.com/office/drawing/2014/main" id="{E0DD3084-B840-44FE-B20A-F239F1B600B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150" y="85725"/>
          <a:ext cx="619125" cy="7524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466725" cy="0"/>
    <xdr:pic>
      <xdr:nvPicPr>
        <xdr:cNvPr id="2" name="image2.png">
          <a:extLst>
            <a:ext uri="{FF2B5EF4-FFF2-40B4-BE49-F238E27FC236}">
              <a16:creationId xmlns:a16="http://schemas.microsoft.com/office/drawing/2014/main" id="{AEC0D634-A543-40EF-A76C-D10812D550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1171575"/>
          <a:ext cx="4667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3" name="image1.png">
          <a:extLst>
            <a:ext uri="{FF2B5EF4-FFF2-40B4-BE49-F238E27FC236}">
              <a16:creationId xmlns:a16="http://schemas.microsoft.com/office/drawing/2014/main" id="{3F2F02FD-0C22-47C8-A4C3-5F26D988A08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150" y="85725"/>
          <a:ext cx="619125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466725" cy="0"/>
    <xdr:pic>
      <xdr:nvPicPr>
        <xdr:cNvPr id="4" name="image2.png">
          <a:extLst>
            <a:ext uri="{FF2B5EF4-FFF2-40B4-BE49-F238E27FC236}">
              <a16:creationId xmlns:a16="http://schemas.microsoft.com/office/drawing/2014/main" id="{1BB5ECD8-17D3-435A-8EB5-83944A27C3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1171575"/>
          <a:ext cx="4667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5" name="image1.png">
          <a:extLst>
            <a:ext uri="{FF2B5EF4-FFF2-40B4-BE49-F238E27FC236}">
              <a16:creationId xmlns:a16="http://schemas.microsoft.com/office/drawing/2014/main" id="{DEE6BA1C-5C35-40DE-B556-015EFE6F031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150" y="85725"/>
          <a:ext cx="619125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466725" cy="0"/>
    <xdr:pic>
      <xdr:nvPicPr>
        <xdr:cNvPr id="8" name="image2.png">
          <a:extLst>
            <a:ext uri="{FF2B5EF4-FFF2-40B4-BE49-F238E27FC236}">
              <a16:creationId xmlns:a16="http://schemas.microsoft.com/office/drawing/2014/main" id="{CA2422B3-833B-42C4-B6A0-71F48A3366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1171575"/>
          <a:ext cx="4667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9" name="image1.png">
          <a:extLst>
            <a:ext uri="{FF2B5EF4-FFF2-40B4-BE49-F238E27FC236}">
              <a16:creationId xmlns:a16="http://schemas.microsoft.com/office/drawing/2014/main" id="{9D9D3F88-923C-4DFA-98F2-74046506A2C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150" y="85725"/>
          <a:ext cx="619125" cy="75247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76200</xdr:rowOff>
    </xdr:from>
    <xdr:ext cx="619125" cy="752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0</xdr:row>
      <xdr:rowOff>95250</xdr:rowOff>
    </xdr:from>
    <xdr:ext cx="619125" cy="752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1152525</xdr:colOff>
      <xdr:row>37</xdr:row>
      <xdr:rowOff>0</xdr:rowOff>
    </xdr:from>
    <xdr:ext cx="180975" cy="9429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5255513" y="3308513"/>
          <a:ext cx="180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66675</xdr:colOff>
      <xdr:row>0</xdr:row>
      <xdr:rowOff>104775</xdr:rowOff>
    </xdr:from>
    <xdr:ext cx="619125" cy="752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0</xdr:row>
      <xdr:rowOff>85725</xdr:rowOff>
    </xdr:from>
    <xdr:ext cx="619125" cy="752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76200</xdr:rowOff>
    </xdr:from>
    <xdr:ext cx="619125" cy="752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466725" cy="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76200</xdr:rowOff>
    </xdr:from>
    <xdr:ext cx="619125" cy="752475"/>
    <xdr:pic>
      <xdr:nvPicPr>
        <xdr:cNvPr id="4" name="image1.png">
          <a:extLst>
            <a:ext uri="{FF2B5EF4-FFF2-40B4-BE49-F238E27FC236}">
              <a16:creationId xmlns:a16="http://schemas.microsoft.com/office/drawing/2014/main" id="{A40BABB0-A874-497A-BFD2-DD8EBFE09B0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150" y="76200"/>
          <a:ext cx="619125" cy="752475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466725" cy="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0</xdr:row>
      <xdr:rowOff>95250</xdr:rowOff>
    </xdr:from>
    <xdr:ext cx="619125" cy="752475"/>
    <xdr:pic>
      <xdr:nvPicPr>
        <xdr:cNvPr id="4" name="image1.png">
          <a:extLst>
            <a:ext uri="{FF2B5EF4-FFF2-40B4-BE49-F238E27FC236}">
              <a16:creationId xmlns:a16="http://schemas.microsoft.com/office/drawing/2014/main" id="{798D285D-1A53-42DD-BAF3-17605996C20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8675" y="95250"/>
          <a:ext cx="619125" cy="752475"/>
        </a:xfrm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466725" cy="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1152525</xdr:colOff>
      <xdr:row>43</xdr:row>
      <xdr:rowOff>0</xdr:rowOff>
    </xdr:from>
    <xdr:ext cx="180975" cy="9429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C49CAC93-EB17-4A6F-87C0-57C766361906}"/>
            </a:ext>
          </a:extLst>
        </xdr:cNvPr>
        <xdr:cNvSpPr/>
      </xdr:nvSpPr>
      <xdr:spPr>
        <a:xfrm>
          <a:off x="3486150" y="11325225"/>
          <a:ext cx="180975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66675</xdr:colOff>
      <xdr:row>0</xdr:row>
      <xdr:rowOff>104775</xdr:rowOff>
    </xdr:from>
    <xdr:ext cx="619125" cy="752475"/>
    <xdr:pic>
      <xdr:nvPicPr>
        <xdr:cNvPr id="5" name="image1.png">
          <a:extLst>
            <a:ext uri="{FF2B5EF4-FFF2-40B4-BE49-F238E27FC236}">
              <a16:creationId xmlns:a16="http://schemas.microsoft.com/office/drawing/2014/main" id="{4CE0B9F3-E2D2-4972-8384-42416B39907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8675" y="104775"/>
          <a:ext cx="619125" cy="752475"/>
        </a:xfrm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466725" cy="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0</xdr:row>
      <xdr:rowOff>85725</xdr:rowOff>
    </xdr:from>
    <xdr:ext cx="619125" cy="752475"/>
    <xdr:pic>
      <xdr:nvPicPr>
        <xdr:cNvPr id="4" name="image1.png">
          <a:extLst>
            <a:ext uri="{FF2B5EF4-FFF2-40B4-BE49-F238E27FC236}">
              <a16:creationId xmlns:a16="http://schemas.microsoft.com/office/drawing/2014/main" id="{5C74168B-07FA-4118-A50D-38961EFE52E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8675" y="85725"/>
          <a:ext cx="619125" cy="752475"/>
        </a:xfrm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466725" cy="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85725</xdr:rowOff>
    </xdr:from>
    <xdr:ext cx="619125" cy="7524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76200</xdr:rowOff>
    </xdr:from>
    <xdr:ext cx="619125" cy="752475"/>
    <xdr:pic>
      <xdr:nvPicPr>
        <xdr:cNvPr id="4" name="image1.png">
          <a:extLst>
            <a:ext uri="{FF2B5EF4-FFF2-40B4-BE49-F238E27FC236}">
              <a16:creationId xmlns:a16="http://schemas.microsoft.com/office/drawing/2014/main" id="{0E20CDBC-5CAA-4F15-91C5-5A3F525866E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150" y="76200"/>
          <a:ext cx="619125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0</xdr:row>
      <xdr:rowOff>85725</xdr:rowOff>
    </xdr:from>
    <xdr:ext cx="619125" cy="752475"/>
    <xdr:pic>
      <xdr:nvPicPr>
        <xdr:cNvPr id="5" name="image1.png">
          <a:extLst>
            <a:ext uri="{FF2B5EF4-FFF2-40B4-BE49-F238E27FC236}">
              <a16:creationId xmlns:a16="http://schemas.microsoft.com/office/drawing/2014/main" id="{38294AAA-225B-409A-8EBA-57C212A73E8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8675" y="85725"/>
          <a:ext cx="619125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76200</xdr:rowOff>
    </xdr:from>
    <xdr:ext cx="619125" cy="752475"/>
    <xdr:pic>
      <xdr:nvPicPr>
        <xdr:cNvPr id="6" name="image1.png">
          <a:extLst>
            <a:ext uri="{FF2B5EF4-FFF2-40B4-BE49-F238E27FC236}">
              <a16:creationId xmlns:a16="http://schemas.microsoft.com/office/drawing/2014/main" id="{EDD40ECD-7349-45D5-810E-BAA9A9541B6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150" y="76200"/>
          <a:ext cx="619125" cy="7524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2"/>
  <sheetViews>
    <sheetView showGridLines="0" tabSelected="1" zoomScaleNormal="100" workbookViewId="0">
      <selection activeCell="K45" sqref="K45"/>
    </sheetView>
  </sheetViews>
  <sheetFormatPr baseColWidth="10" defaultColWidth="12.5703125" defaultRowHeight="15" customHeight="1"/>
  <cols>
    <col min="1" max="2" width="5.7109375" customWidth="1"/>
    <col min="3" max="3" width="10.7109375" customWidth="1"/>
    <col min="4" max="4" width="14.28515625" customWidth="1"/>
    <col min="5" max="5" width="61.5703125" customWidth="1"/>
    <col min="6" max="7" width="14.7109375" customWidth="1"/>
    <col min="8" max="8" width="7.28515625" customWidth="1"/>
    <col min="9" max="11" width="11.42578125" customWidth="1"/>
    <col min="12" max="26" width="10.5703125" customWidth="1"/>
  </cols>
  <sheetData>
    <row r="1" spans="1:10" ht="72.75" customHeight="1">
      <c r="A1" s="684"/>
      <c r="B1" s="685"/>
      <c r="C1" s="685"/>
      <c r="D1" s="685"/>
      <c r="E1" s="686" t="s">
        <v>0</v>
      </c>
      <c r="F1" s="685"/>
      <c r="G1" s="687"/>
    </row>
    <row r="2" spans="1:10" ht="19.5" customHeight="1" thickBot="1">
      <c r="A2" s="688" t="s">
        <v>1</v>
      </c>
      <c r="B2" s="716"/>
      <c r="C2" s="716"/>
      <c r="D2" s="716"/>
      <c r="E2" s="716"/>
      <c r="F2" s="716"/>
      <c r="G2" s="717"/>
    </row>
    <row r="3" spans="1:10" ht="19.5" customHeight="1" thickBot="1">
      <c r="A3" s="691" t="s">
        <v>2</v>
      </c>
      <c r="B3" s="692" t="s">
        <v>3</v>
      </c>
      <c r="C3" s="693" t="s">
        <v>4</v>
      </c>
      <c r="D3" s="675"/>
      <c r="E3" s="107" t="s">
        <v>1371</v>
      </c>
      <c r="F3" s="672" t="s">
        <v>5</v>
      </c>
      <c r="G3" s="691" t="s">
        <v>6</v>
      </c>
    </row>
    <row r="4" spans="1:10" ht="19.5" customHeight="1" thickBot="1">
      <c r="A4" s="712"/>
      <c r="B4" s="673"/>
      <c r="C4" s="119" t="s">
        <v>7</v>
      </c>
      <c r="D4" s="119" t="s">
        <v>8</v>
      </c>
      <c r="E4" s="119" t="s">
        <v>9</v>
      </c>
      <c r="F4" s="712"/>
      <c r="G4" s="673"/>
    </row>
    <row r="5" spans="1:10" ht="19.5" customHeight="1">
      <c r="A5" s="115">
        <v>1</v>
      </c>
      <c r="B5" s="91"/>
      <c r="C5" s="88"/>
      <c r="D5" s="171"/>
      <c r="E5" s="543" t="s">
        <v>1723</v>
      </c>
      <c r="F5" s="572" t="s">
        <v>1724</v>
      </c>
      <c r="G5" s="123">
        <v>40402</v>
      </c>
      <c r="I5" s="237"/>
    </row>
    <row r="6" spans="1:10" ht="19.5" customHeight="1">
      <c r="A6" s="115">
        <v>2</v>
      </c>
      <c r="B6" s="93"/>
      <c r="C6" s="88"/>
      <c r="D6" s="616" t="s">
        <v>1876</v>
      </c>
      <c r="E6" s="240" t="s">
        <v>1175</v>
      </c>
      <c r="F6" s="559" t="s">
        <v>1176</v>
      </c>
      <c r="G6" s="299">
        <v>40541</v>
      </c>
      <c r="I6" s="237"/>
    </row>
    <row r="7" spans="1:10" ht="19.5" customHeight="1">
      <c r="A7" s="114">
        <v>3</v>
      </c>
      <c r="B7" s="93"/>
      <c r="C7" s="88"/>
      <c r="D7" s="203"/>
      <c r="E7" s="247" t="s">
        <v>1731</v>
      </c>
      <c r="F7" s="248" t="s">
        <v>1732</v>
      </c>
      <c r="G7" s="96">
        <v>41078</v>
      </c>
      <c r="I7" s="237"/>
    </row>
    <row r="8" spans="1:10" ht="19.5" customHeight="1">
      <c r="A8" s="115">
        <v>4</v>
      </c>
      <c r="B8" s="93"/>
      <c r="C8" s="88"/>
      <c r="D8" s="203"/>
      <c r="E8" s="247" t="s">
        <v>1578</v>
      </c>
      <c r="F8" s="248" t="s">
        <v>1579</v>
      </c>
      <c r="G8" s="96">
        <v>40883</v>
      </c>
      <c r="I8" s="237"/>
    </row>
    <row r="9" spans="1:10" ht="19.5" customHeight="1">
      <c r="A9" s="115">
        <v>5</v>
      </c>
      <c r="B9" s="93"/>
      <c r="C9" s="88"/>
      <c r="D9" s="171"/>
      <c r="E9" s="247" t="s">
        <v>1733</v>
      </c>
      <c r="F9" s="248" t="s">
        <v>1734</v>
      </c>
      <c r="G9" s="96">
        <v>41056</v>
      </c>
      <c r="J9" t="s">
        <v>12</v>
      </c>
    </row>
    <row r="10" spans="1:10" ht="19.5" customHeight="1">
      <c r="A10" s="114">
        <v>6</v>
      </c>
      <c r="B10" s="93"/>
      <c r="C10" s="88"/>
      <c r="D10" s="171"/>
      <c r="E10" s="400" t="s">
        <v>1594</v>
      </c>
      <c r="F10" s="244" t="s">
        <v>1595</v>
      </c>
      <c r="G10" s="96">
        <v>40934</v>
      </c>
    </row>
    <row r="11" spans="1:10" ht="19.5" customHeight="1">
      <c r="A11" s="115">
        <v>7</v>
      </c>
      <c r="B11" s="93"/>
      <c r="C11" s="88"/>
      <c r="D11" s="171"/>
      <c r="E11" s="400" t="s">
        <v>1740</v>
      </c>
      <c r="F11" s="244" t="s">
        <v>1741</v>
      </c>
      <c r="G11" s="96">
        <v>40773</v>
      </c>
    </row>
    <row r="12" spans="1:10" ht="19.5" customHeight="1">
      <c r="A12" s="115">
        <v>8</v>
      </c>
      <c r="B12" s="93"/>
      <c r="C12" s="88"/>
      <c r="D12" s="203"/>
      <c r="E12" s="400" t="s">
        <v>1628</v>
      </c>
      <c r="F12" s="244" t="s">
        <v>1629</v>
      </c>
      <c r="G12" s="96">
        <v>40701</v>
      </c>
    </row>
    <row r="13" spans="1:10" ht="19.5" customHeight="1">
      <c r="A13" s="114">
        <v>9</v>
      </c>
      <c r="B13" s="93"/>
      <c r="C13" s="88"/>
      <c r="D13" s="171"/>
      <c r="E13" s="247" t="s">
        <v>1811</v>
      </c>
      <c r="F13" s="248" t="s">
        <v>1812</v>
      </c>
      <c r="G13" s="100">
        <v>40619</v>
      </c>
    </row>
    <row r="14" spans="1:10" ht="19.5" customHeight="1">
      <c r="A14" s="115">
        <v>10</v>
      </c>
      <c r="B14" s="93"/>
      <c r="C14" s="88"/>
      <c r="D14" s="604" t="s">
        <v>1822</v>
      </c>
      <c r="E14" s="400" t="s">
        <v>1815</v>
      </c>
      <c r="F14" s="244" t="s">
        <v>1814</v>
      </c>
      <c r="G14" s="96">
        <v>40923</v>
      </c>
    </row>
    <row r="15" spans="1:10" ht="19.5" customHeight="1">
      <c r="A15" s="115">
        <v>11</v>
      </c>
      <c r="B15" s="93"/>
      <c r="C15" s="88"/>
      <c r="D15" s="171"/>
      <c r="E15" s="400" t="s">
        <v>1606</v>
      </c>
      <c r="F15" s="244" t="s">
        <v>1607</v>
      </c>
      <c r="G15" s="96">
        <v>40991</v>
      </c>
    </row>
    <row r="16" spans="1:10" ht="19.5" customHeight="1">
      <c r="A16" s="114">
        <v>12</v>
      </c>
      <c r="B16" s="93"/>
      <c r="C16" s="88"/>
      <c r="D16" s="171"/>
      <c r="E16" s="427" t="s">
        <v>1612</v>
      </c>
      <c r="F16" s="253" t="s">
        <v>1613</v>
      </c>
      <c r="G16" s="254">
        <v>40737</v>
      </c>
    </row>
    <row r="17" spans="1:7" ht="19.5" customHeight="1">
      <c r="A17" s="115">
        <v>13</v>
      </c>
      <c r="B17" s="93"/>
      <c r="C17" s="88"/>
      <c r="D17" s="171"/>
      <c r="E17" s="430" t="s">
        <v>1614</v>
      </c>
      <c r="F17" s="407" t="s">
        <v>1615</v>
      </c>
      <c r="G17" s="96">
        <v>41007</v>
      </c>
    </row>
    <row r="18" spans="1:7" ht="19.5" customHeight="1">
      <c r="A18" s="115">
        <v>14</v>
      </c>
      <c r="B18" s="93"/>
      <c r="C18" s="88"/>
      <c r="D18" s="203"/>
      <c r="E18" s="247" t="s">
        <v>1634</v>
      </c>
      <c r="F18" s="248" t="s">
        <v>1635</v>
      </c>
      <c r="G18" s="96">
        <v>40577</v>
      </c>
    </row>
    <row r="19" spans="1:7" ht="19.5" customHeight="1">
      <c r="A19" s="114">
        <v>15</v>
      </c>
      <c r="B19" s="93"/>
      <c r="C19" s="88"/>
      <c r="D19" s="203"/>
      <c r="E19" s="400" t="s">
        <v>1610</v>
      </c>
      <c r="F19" s="244" t="s">
        <v>1611</v>
      </c>
      <c r="G19" s="96">
        <v>40731</v>
      </c>
    </row>
    <row r="20" spans="1:7" ht="19.5" customHeight="1">
      <c r="A20" s="115">
        <v>16</v>
      </c>
      <c r="B20" s="93"/>
      <c r="C20" s="88"/>
      <c r="D20" s="171"/>
      <c r="E20" s="247" t="s">
        <v>1604</v>
      </c>
      <c r="F20" s="248" t="s">
        <v>1605</v>
      </c>
      <c r="G20" s="96">
        <v>40994</v>
      </c>
    </row>
    <row r="21" spans="1:7" ht="19.5" customHeight="1">
      <c r="A21" s="115">
        <v>17</v>
      </c>
      <c r="B21" s="93"/>
      <c r="C21" s="88"/>
      <c r="D21" s="171"/>
      <c r="E21" s="400" t="s">
        <v>1746</v>
      </c>
      <c r="F21" s="244" t="s">
        <v>1747</v>
      </c>
      <c r="G21" s="96">
        <v>40736</v>
      </c>
    </row>
    <row r="22" spans="1:7" ht="19.5" customHeight="1">
      <c r="A22" s="114">
        <v>18</v>
      </c>
      <c r="B22" s="93"/>
      <c r="C22" s="88"/>
      <c r="D22" s="171"/>
      <c r="E22" s="247" t="s">
        <v>1616</v>
      </c>
      <c r="F22" s="248" t="s">
        <v>1617</v>
      </c>
      <c r="G22" s="96">
        <v>40852</v>
      </c>
    </row>
    <row r="23" spans="1:7" ht="19.5" customHeight="1">
      <c r="A23" s="115">
        <v>19</v>
      </c>
      <c r="B23" s="93"/>
      <c r="C23" s="88"/>
      <c r="D23" s="171"/>
      <c r="E23" s="247" t="s">
        <v>1630</v>
      </c>
      <c r="F23" s="248" t="s">
        <v>1631</v>
      </c>
      <c r="G23" s="96">
        <v>40786</v>
      </c>
    </row>
    <row r="24" spans="1:7" ht="19.5" customHeight="1">
      <c r="A24" s="115">
        <v>20</v>
      </c>
      <c r="B24" s="93"/>
      <c r="C24" s="88"/>
      <c r="D24" s="206"/>
      <c r="E24" s="400" t="s">
        <v>1749</v>
      </c>
      <c r="F24" s="244" t="s">
        <v>1750</v>
      </c>
      <c r="G24" s="96">
        <v>41046</v>
      </c>
    </row>
    <row r="25" spans="1:7" ht="19.5" customHeight="1">
      <c r="A25" s="114">
        <v>21</v>
      </c>
      <c r="B25" s="93"/>
      <c r="C25" s="88"/>
      <c r="D25" s="171"/>
      <c r="E25" s="247" t="s">
        <v>1624</v>
      </c>
      <c r="F25" s="248" t="s">
        <v>1625</v>
      </c>
      <c r="G25" s="96">
        <v>40824</v>
      </c>
    </row>
    <row r="26" spans="1:7" ht="19.5" customHeight="1">
      <c r="A26" s="115">
        <v>22</v>
      </c>
      <c r="B26" s="93"/>
      <c r="C26" s="88"/>
      <c r="D26" s="171"/>
      <c r="E26" s="247" t="s">
        <v>1753</v>
      </c>
      <c r="F26" s="248" t="s">
        <v>1754</v>
      </c>
      <c r="G26" s="96">
        <v>41001</v>
      </c>
    </row>
    <row r="27" spans="1:7" ht="19.5" customHeight="1">
      <c r="A27" s="115">
        <v>23</v>
      </c>
      <c r="B27" s="93"/>
      <c r="C27" s="88"/>
      <c r="D27" s="604" t="s">
        <v>1823</v>
      </c>
      <c r="E27" s="247" t="s">
        <v>1830</v>
      </c>
      <c r="F27" s="248" t="s">
        <v>1831</v>
      </c>
      <c r="G27" s="96">
        <v>40997</v>
      </c>
    </row>
    <row r="28" spans="1:7" ht="19.5" customHeight="1">
      <c r="A28" s="114">
        <v>24</v>
      </c>
      <c r="B28" s="93"/>
      <c r="C28" s="88"/>
      <c r="D28" s="171"/>
      <c r="E28" s="430" t="s">
        <v>1620</v>
      </c>
      <c r="F28" s="407" t="s">
        <v>1621</v>
      </c>
      <c r="G28" s="432">
        <v>40945</v>
      </c>
    </row>
    <row r="29" spans="1:7" ht="19.5" customHeight="1">
      <c r="A29" s="115">
        <v>25</v>
      </c>
      <c r="B29" s="93"/>
      <c r="C29" s="88"/>
      <c r="D29" s="203"/>
      <c r="E29" s="247" t="s">
        <v>1626</v>
      </c>
      <c r="F29" s="248" t="s">
        <v>1627</v>
      </c>
      <c r="G29" s="96">
        <v>40793</v>
      </c>
    </row>
    <row r="30" spans="1:7" ht="19.5" customHeight="1">
      <c r="A30" s="115">
        <v>26</v>
      </c>
      <c r="B30" s="93"/>
      <c r="C30" s="88"/>
      <c r="D30" s="171"/>
      <c r="E30" s="400" t="s">
        <v>1596</v>
      </c>
      <c r="F30" s="244" t="s">
        <v>1597</v>
      </c>
      <c r="G30" s="96">
        <v>40936</v>
      </c>
    </row>
    <row r="31" spans="1:7" ht="19.5" customHeight="1">
      <c r="A31" s="114">
        <v>27</v>
      </c>
      <c r="B31" s="93"/>
      <c r="C31" s="88"/>
      <c r="D31" s="203"/>
      <c r="E31" s="247" t="s">
        <v>1580</v>
      </c>
      <c r="F31" s="248" t="s">
        <v>1581</v>
      </c>
      <c r="G31" s="96">
        <v>40544</v>
      </c>
    </row>
    <row r="32" spans="1:7" ht="19.5" customHeight="1">
      <c r="A32" s="115">
        <v>28</v>
      </c>
      <c r="B32" s="93"/>
      <c r="C32" s="88"/>
      <c r="D32" s="171"/>
      <c r="E32" s="400" t="s">
        <v>1602</v>
      </c>
      <c r="F32" s="244" t="s">
        <v>1603</v>
      </c>
      <c r="G32" s="96">
        <v>40930</v>
      </c>
    </row>
    <row r="33" spans="1:10" ht="19.5" customHeight="1">
      <c r="A33" s="115">
        <v>29</v>
      </c>
      <c r="B33" s="93"/>
      <c r="C33" s="88"/>
      <c r="D33" s="171"/>
      <c r="E33" s="400" t="s">
        <v>1622</v>
      </c>
      <c r="F33" s="244" t="s">
        <v>1623</v>
      </c>
      <c r="G33" s="96">
        <v>40693</v>
      </c>
      <c r="H33" s="8"/>
      <c r="I33" s="14"/>
    </row>
    <row r="34" spans="1:10" ht="19.5" customHeight="1">
      <c r="A34" s="114">
        <v>30</v>
      </c>
      <c r="B34" s="93"/>
      <c r="C34" s="88"/>
      <c r="D34" s="604" t="s">
        <v>1822</v>
      </c>
      <c r="E34" s="247" t="s">
        <v>1824</v>
      </c>
      <c r="F34" s="248" t="s">
        <v>1825</v>
      </c>
      <c r="G34" s="96">
        <v>40925</v>
      </c>
      <c r="H34" s="8"/>
      <c r="I34" s="14"/>
    </row>
    <row r="35" spans="1:10" ht="19.5" customHeight="1">
      <c r="A35" s="115">
        <v>31</v>
      </c>
      <c r="B35" s="93"/>
      <c r="C35" s="88"/>
      <c r="D35" s="171"/>
      <c r="E35" s="428" t="s">
        <v>1608</v>
      </c>
      <c r="F35" s="429" t="s">
        <v>1609</v>
      </c>
      <c r="G35" s="96">
        <v>40741</v>
      </c>
      <c r="H35" s="8"/>
      <c r="I35" s="14"/>
    </row>
    <row r="36" spans="1:10" ht="19.5" customHeight="1">
      <c r="A36" s="115">
        <v>32</v>
      </c>
      <c r="B36" s="93"/>
      <c r="C36" s="88"/>
      <c r="D36" s="171"/>
      <c r="E36" s="428" t="s">
        <v>1584</v>
      </c>
      <c r="F36" s="429" t="s">
        <v>1585</v>
      </c>
      <c r="G36" s="96">
        <v>40782</v>
      </c>
      <c r="H36" s="8"/>
      <c r="I36" s="14"/>
    </row>
    <row r="37" spans="1:10" ht="19.5" customHeight="1">
      <c r="A37" s="114">
        <v>33</v>
      </c>
      <c r="B37" s="93"/>
      <c r="C37" s="88"/>
      <c r="D37" s="203"/>
      <c r="E37" s="247" t="s">
        <v>1586</v>
      </c>
      <c r="F37" s="248" t="s">
        <v>1587</v>
      </c>
      <c r="G37" s="96">
        <v>40967</v>
      </c>
      <c r="H37" s="8"/>
      <c r="I37" s="14"/>
    </row>
    <row r="38" spans="1:10" ht="19.5" customHeight="1">
      <c r="A38" s="115">
        <v>34</v>
      </c>
      <c r="B38" s="93"/>
      <c r="C38" s="88"/>
      <c r="D38" s="171"/>
      <c r="E38" s="247" t="s">
        <v>1590</v>
      </c>
      <c r="F38" s="248" t="s">
        <v>1591</v>
      </c>
      <c r="G38" s="96">
        <v>40715</v>
      </c>
      <c r="H38" s="8"/>
      <c r="I38" s="14"/>
    </row>
    <row r="39" spans="1:10" ht="19.5" customHeight="1">
      <c r="A39" s="115">
        <v>35</v>
      </c>
      <c r="B39" s="93"/>
      <c r="C39" s="140"/>
      <c r="D39" s="577"/>
      <c r="E39" s="400" t="s">
        <v>1632</v>
      </c>
      <c r="F39" s="244" t="s">
        <v>1633</v>
      </c>
      <c r="G39" s="96">
        <v>40559</v>
      </c>
      <c r="H39" s="8"/>
      <c r="I39" s="14"/>
      <c r="J39" t="s">
        <v>12</v>
      </c>
    </row>
    <row r="40" spans="1:10" ht="19.5" customHeight="1">
      <c r="A40" s="114">
        <v>36</v>
      </c>
      <c r="B40" s="93"/>
      <c r="C40" s="116"/>
      <c r="D40" s="574"/>
      <c r="E40" s="400" t="s">
        <v>1600</v>
      </c>
      <c r="F40" s="244" t="s">
        <v>1601</v>
      </c>
      <c r="G40" s="96">
        <v>40868</v>
      </c>
      <c r="H40" s="8"/>
      <c r="I40" s="14"/>
    </row>
    <row r="41" spans="1:10" ht="19.5" customHeight="1">
      <c r="A41" s="115">
        <v>37</v>
      </c>
      <c r="B41" s="93"/>
      <c r="C41" s="116"/>
      <c r="D41" s="574"/>
      <c r="E41" s="247" t="s">
        <v>1786</v>
      </c>
      <c r="F41" s="248" t="s">
        <v>1787</v>
      </c>
      <c r="G41" s="96">
        <v>40997</v>
      </c>
      <c r="H41" s="8"/>
      <c r="I41" s="14"/>
    </row>
    <row r="42" spans="1:10" ht="19.5" customHeight="1">
      <c r="A42" s="115">
        <v>38</v>
      </c>
      <c r="B42" s="93"/>
      <c r="C42" s="116"/>
      <c r="D42" s="574"/>
      <c r="E42" s="400" t="s">
        <v>1598</v>
      </c>
      <c r="F42" s="244" t="s">
        <v>1599</v>
      </c>
      <c r="G42" s="96">
        <v>40673</v>
      </c>
      <c r="H42" s="8"/>
      <c r="I42" s="14"/>
    </row>
    <row r="43" spans="1:10" ht="19.5" customHeight="1">
      <c r="A43" s="114">
        <v>39</v>
      </c>
      <c r="B43" s="93"/>
      <c r="C43" s="116"/>
      <c r="D43" s="574"/>
      <c r="E43" s="430" t="s">
        <v>1618</v>
      </c>
      <c r="F43" s="407" t="s">
        <v>1619</v>
      </c>
      <c r="G43" s="96">
        <v>41043</v>
      </c>
      <c r="H43" s="8"/>
      <c r="I43" s="14"/>
    </row>
    <row r="44" spans="1:10" ht="19.5" customHeight="1">
      <c r="A44" s="115">
        <v>40</v>
      </c>
      <c r="B44" s="93"/>
      <c r="C44" s="116"/>
      <c r="D44" s="602" t="s">
        <v>1823</v>
      </c>
      <c r="E44" s="247" t="s">
        <v>1832</v>
      </c>
      <c r="F44" s="248" t="s">
        <v>1833</v>
      </c>
      <c r="G44" s="96">
        <v>40809</v>
      </c>
      <c r="H44" s="8"/>
      <c r="I44" s="14"/>
    </row>
    <row r="45" spans="1:10" ht="19.5" customHeight="1">
      <c r="A45" s="115">
        <v>41</v>
      </c>
      <c r="B45" s="93"/>
      <c r="C45" s="116"/>
      <c r="D45" s="574"/>
      <c r="E45" s="528" t="s">
        <v>1592</v>
      </c>
      <c r="F45" s="529" t="s">
        <v>1593</v>
      </c>
      <c r="G45" s="150">
        <v>41066</v>
      </c>
      <c r="H45" s="8"/>
      <c r="I45" s="14" t="s">
        <v>12</v>
      </c>
    </row>
    <row r="46" spans="1:10" ht="19.5" customHeight="1">
      <c r="A46" s="114">
        <v>42</v>
      </c>
      <c r="B46" s="93"/>
      <c r="C46" s="116"/>
      <c r="D46" s="574"/>
      <c r="E46" s="430" t="s">
        <v>1588</v>
      </c>
      <c r="F46" s="407" t="s">
        <v>1589</v>
      </c>
      <c r="G46" s="96">
        <v>40738</v>
      </c>
      <c r="H46" s="8"/>
      <c r="I46" s="14"/>
    </row>
    <row r="47" spans="1:10" ht="19.5" customHeight="1">
      <c r="A47" s="115">
        <v>43</v>
      </c>
      <c r="B47" s="93"/>
      <c r="C47" s="116"/>
      <c r="D47" s="574"/>
      <c r="E47" s="400" t="s">
        <v>1582</v>
      </c>
      <c r="F47" s="244" t="s">
        <v>1583</v>
      </c>
      <c r="G47" s="96">
        <v>40915</v>
      </c>
      <c r="H47" s="8"/>
      <c r="I47" s="14"/>
    </row>
    <row r="48" spans="1:10" ht="19.5" customHeight="1">
      <c r="A48" s="115">
        <v>44</v>
      </c>
      <c r="B48" s="93"/>
      <c r="C48" s="116"/>
      <c r="D48" s="602" t="s">
        <v>1822</v>
      </c>
      <c r="E48" s="247" t="s">
        <v>1826</v>
      </c>
      <c r="F48" s="248" t="s">
        <v>1827</v>
      </c>
      <c r="G48" s="96">
        <v>40714</v>
      </c>
      <c r="H48" s="8"/>
      <c r="I48" s="14"/>
    </row>
    <row r="49" spans="1:9" ht="19.5" customHeight="1" thickBot="1">
      <c r="A49" s="567">
        <v>45</v>
      </c>
      <c r="B49" s="234"/>
      <c r="C49" s="332"/>
      <c r="D49" s="603" t="s">
        <v>1822</v>
      </c>
      <c r="E49" s="573" t="s">
        <v>1828</v>
      </c>
      <c r="F49" s="469" t="s">
        <v>1829</v>
      </c>
      <c r="G49" s="333">
        <v>40703</v>
      </c>
      <c r="H49" s="8"/>
      <c r="I49" s="14"/>
    </row>
    <row r="50" spans="1:9" ht="19.5" customHeight="1" thickBot="1">
      <c r="A50" s="110" t="s">
        <v>10</v>
      </c>
      <c r="B50" s="111"/>
      <c r="C50" s="226"/>
      <c r="D50" s="715" t="s">
        <v>1879</v>
      </c>
      <c r="E50" s="675"/>
      <c r="F50" s="676" t="s">
        <v>11</v>
      </c>
      <c r="G50" s="677"/>
    </row>
    <row r="51" spans="1:9" ht="19.5" customHeight="1">
      <c r="A51" s="678"/>
      <c r="B51" s="679"/>
      <c r="C51" s="679"/>
      <c r="D51" s="679"/>
      <c r="E51" s="679"/>
      <c r="F51" s="679"/>
      <c r="G51" s="680"/>
    </row>
    <row r="52" spans="1:9" ht="19.5" customHeight="1">
      <c r="A52" s="681"/>
      <c r="B52" s="682"/>
      <c r="C52" s="682"/>
      <c r="D52" s="682"/>
      <c r="E52" s="682"/>
      <c r="F52" s="682"/>
      <c r="G52" s="683"/>
    </row>
  </sheetData>
  <sortState xmlns:xlrd2="http://schemas.microsoft.com/office/spreadsheetml/2017/richdata2" ref="D5:G49">
    <sortCondition ref="E5:E49"/>
  </sortState>
  <mergeCells count="11">
    <mergeCell ref="F3:F4"/>
    <mergeCell ref="D50:E50"/>
    <mergeCell ref="F50:G50"/>
    <mergeCell ref="A51:G52"/>
    <mergeCell ref="A1:D1"/>
    <mergeCell ref="E1:G1"/>
    <mergeCell ref="A2:G2"/>
    <mergeCell ref="A3:A4"/>
    <mergeCell ref="B3:B4"/>
    <mergeCell ref="C3:D3"/>
    <mergeCell ref="G3:G4"/>
  </mergeCells>
  <phoneticPr fontId="16" type="noConversion"/>
  <conditionalFormatting sqref="E7:E8 E11:E12 E39:E40">
    <cfRule type="cellIs" dxfId="52" priority="15" stopIfTrue="1" operator="between">
      <formula>1</formula>
      <formula>3.9</formula>
    </cfRule>
  </conditionalFormatting>
  <conditionalFormatting sqref="E16:E36">
    <cfRule type="cellIs" dxfId="51" priority="7" stopIfTrue="1" operator="between">
      <formula>1</formula>
      <formula>3.9</formula>
    </cfRule>
  </conditionalFormatting>
  <conditionalFormatting sqref="E42:E44">
    <cfRule type="cellIs" dxfId="50" priority="4" stopIfTrue="1" operator="between">
      <formula>1</formula>
      <formula>3.9</formula>
    </cfRule>
  </conditionalFormatting>
  <conditionalFormatting sqref="E46:E49">
    <cfRule type="cellIs" dxfId="49" priority="1" stopIfTrue="1" operator="between">
      <formula>1</formula>
      <formula>3.9</formula>
    </cfRule>
  </conditionalFormatting>
  <pageMargins left="0.7" right="0.7" top="0.75" bottom="0.75" header="0.3" footer="0.3"/>
  <pageSetup paperSize="5" scale="71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52"/>
  <sheetViews>
    <sheetView showGridLines="0" topLeftCell="A39" zoomScaleNormal="100" workbookViewId="0">
      <selection activeCell="E39" sqref="E39"/>
    </sheetView>
  </sheetViews>
  <sheetFormatPr baseColWidth="10" defaultColWidth="12.5703125" defaultRowHeight="15" customHeight="1"/>
  <cols>
    <col min="1" max="2" width="5.7109375" customWidth="1"/>
    <col min="3" max="3" width="10.7109375" customWidth="1"/>
    <col min="4" max="4" width="14.28515625" customWidth="1"/>
    <col min="5" max="5" width="60.7109375" customWidth="1"/>
    <col min="6" max="7" width="14.7109375" customWidth="1"/>
    <col min="8" max="8" width="7.28515625" customWidth="1"/>
    <col min="9" max="11" width="11.42578125" customWidth="1"/>
    <col min="12" max="26" width="10.5703125" customWidth="1"/>
  </cols>
  <sheetData>
    <row r="1" spans="1:9" ht="72.75" customHeight="1" thickBot="1">
      <c r="A1" s="684"/>
      <c r="B1" s="685"/>
      <c r="C1" s="685"/>
      <c r="D1" s="685"/>
      <c r="E1" s="686" t="s">
        <v>0</v>
      </c>
      <c r="F1" s="685"/>
      <c r="G1" s="687"/>
    </row>
    <row r="2" spans="1:9" ht="19.5" customHeight="1" thickBot="1">
      <c r="A2" s="688" t="s">
        <v>1</v>
      </c>
      <c r="B2" s="689"/>
      <c r="C2" s="689"/>
      <c r="D2" s="689"/>
      <c r="E2" s="689"/>
      <c r="F2" s="689"/>
      <c r="G2" s="690"/>
    </row>
    <row r="3" spans="1:9" ht="19.5" customHeight="1" thickBot="1">
      <c r="A3" s="691" t="s">
        <v>2</v>
      </c>
      <c r="B3" s="692" t="s">
        <v>3</v>
      </c>
      <c r="C3" s="693" t="s">
        <v>4</v>
      </c>
      <c r="D3" s="675"/>
      <c r="E3" s="107" t="s">
        <v>1372</v>
      </c>
      <c r="F3" s="672" t="s">
        <v>5</v>
      </c>
      <c r="G3" s="691" t="s">
        <v>6</v>
      </c>
    </row>
    <row r="4" spans="1:9" ht="19.5" customHeight="1" thickBot="1">
      <c r="A4" s="673"/>
      <c r="B4" s="673"/>
      <c r="C4" s="106" t="s">
        <v>7</v>
      </c>
      <c r="D4" s="106" t="s">
        <v>8</v>
      </c>
      <c r="E4" s="106" t="s">
        <v>9</v>
      </c>
      <c r="F4" s="673"/>
      <c r="G4" s="673"/>
    </row>
    <row r="5" spans="1:9" ht="19.5" customHeight="1">
      <c r="A5" s="89">
        <v>1</v>
      </c>
      <c r="B5" s="108"/>
      <c r="C5" s="470"/>
      <c r="D5" s="578"/>
      <c r="E5" s="434" t="s">
        <v>1543</v>
      </c>
      <c r="F5" s="435" t="s">
        <v>1544</v>
      </c>
      <c r="G5" s="556">
        <v>40740</v>
      </c>
    </row>
    <row r="6" spans="1:9" ht="19.5" customHeight="1">
      <c r="A6" s="98">
        <v>2</v>
      </c>
      <c r="B6" s="109"/>
      <c r="C6" s="471"/>
      <c r="D6" s="605" t="s">
        <v>1823</v>
      </c>
      <c r="E6" s="311" t="s">
        <v>1834</v>
      </c>
      <c r="F6" s="248" t="s">
        <v>1835</v>
      </c>
      <c r="G6" s="96">
        <v>40868</v>
      </c>
    </row>
    <row r="7" spans="1:9" ht="19.5" customHeight="1">
      <c r="A7" s="98">
        <v>3</v>
      </c>
      <c r="B7" s="109"/>
      <c r="C7" s="471"/>
      <c r="D7" s="605" t="s">
        <v>1822</v>
      </c>
      <c r="E7" s="396" t="s">
        <v>1816</v>
      </c>
      <c r="F7" s="244" t="s">
        <v>1817</v>
      </c>
      <c r="G7" s="96">
        <v>40813</v>
      </c>
    </row>
    <row r="8" spans="1:9" ht="19.5" customHeight="1">
      <c r="A8" s="98">
        <v>4</v>
      </c>
      <c r="B8" s="109"/>
      <c r="C8" s="471"/>
      <c r="D8" s="579"/>
      <c r="E8" s="439" t="s">
        <v>1524</v>
      </c>
      <c r="F8" s="407" t="s">
        <v>1525</v>
      </c>
      <c r="G8" s="96">
        <v>40671</v>
      </c>
    </row>
    <row r="9" spans="1:9" ht="19.5" customHeight="1">
      <c r="A9" s="98">
        <v>5</v>
      </c>
      <c r="B9" s="109"/>
      <c r="C9" s="471"/>
      <c r="D9" s="178"/>
      <c r="E9" s="396" t="s">
        <v>1547</v>
      </c>
      <c r="F9" s="244" t="s">
        <v>1548</v>
      </c>
      <c r="G9" s="96">
        <v>41001</v>
      </c>
    </row>
    <row r="10" spans="1:9" ht="19.5" customHeight="1">
      <c r="A10" s="98">
        <v>6</v>
      </c>
      <c r="B10" s="109"/>
      <c r="C10" s="471"/>
      <c r="D10" s="579"/>
      <c r="E10" s="396" t="s">
        <v>1530</v>
      </c>
      <c r="F10" s="244" t="s">
        <v>1531</v>
      </c>
      <c r="G10" s="96">
        <v>40773</v>
      </c>
    </row>
    <row r="11" spans="1:9" ht="19.5" customHeight="1">
      <c r="A11" s="98">
        <v>7</v>
      </c>
      <c r="B11" s="109"/>
      <c r="C11" s="471"/>
      <c r="D11" s="605" t="s">
        <v>1822</v>
      </c>
      <c r="E11" s="442" t="s">
        <v>1836</v>
      </c>
      <c r="F11" s="443" t="s">
        <v>1837</v>
      </c>
      <c r="G11" s="275">
        <v>40872</v>
      </c>
      <c r="I11" t="s">
        <v>12</v>
      </c>
    </row>
    <row r="12" spans="1:9" ht="19.5" customHeight="1">
      <c r="A12" s="98">
        <v>8</v>
      </c>
      <c r="B12" s="109"/>
      <c r="C12" s="471"/>
      <c r="D12" s="579"/>
      <c r="E12" s="311" t="s">
        <v>1809</v>
      </c>
      <c r="F12" s="248" t="s">
        <v>1810</v>
      </c>
      <c r="G12" s="96">
        <v>40963</v>
      </c>
    </row>
    <row r="13" spans="1:9" ht="19.5" customHeight="1">
      <c r="A13" s="98">
        <v>9</v>
      </c>
      <c r="B13" s="109"/>
      <c r="C13" s="471"/>
      <c r="D13" s="579"/>
      <c r="E13" s="396" t="s">
        <v>1551</v>
      </c>
      <c r="F13" s="440" t="s">
        <v>1552</v>
      </c>
      <c r="G13" s="441">
        <v>40912</v>
      </c>
    </row>
    <row r="14" spans="1:9" ht="19.5" customHeight="1">
      <c r="A14" s="98">
        <v>10</v>
      </c>
      <c r="B14" s="109"/>
      <c r="C14" s="471"/>
      <c r="D14" s="178"/>
      <c r="E14" s="396" t="s">
        <v>1541</v>
      </c>
      <c r="F14" s="244" t="s">
        <v>1542</v>
      </c>
      <c r="G14" s="96">
        <v>40684</v>
      </c>
    </row>
    <row r="15" spans="1:9" ht="19.5" customHeight="1">
      <c r="A15" s="98">
        <v>11</v>
      </c>
      <c r="B15" s="109"/>
      <c r="C15" s="471"/>
      <c r="D15" s="178"/>
      <c r="E15" s="396" t="s">
        <v>1534</v>
      </c>
      <c r="F15" s="244" t="s">
        <v>1535</v>
      </c>
      <c r="G15" s="96">
        <v>40635</v>
      </c>
    </row>
    <row r="16" spans="1:9" ht="19.5" customHeight="1">
      <c r="A16" s="98">
        <v>12</v>
      </c>
      <c r="B16" s="109"/>
      <c r="C16" s="471"/>
      <c r="D16" s="579"/>
      <c r="E16" s="396" t="s">
        <v>1522</v>
      </c>
      <c r="F16" s="244" t="s">
        <v>1523</v>
      </c>
      <c r="G16" s="96">
        <v>40673</v>
      </c>
    </row>
    <row r="17" spans="1:7" ht="19.5" customHeight="1">
      <c r="A17" s="98">
        <v>13</v>
      </c>
      <c r="B17" s="109"/>
      <c r="C17" s="471"/>
      <c r="D17" s="178"/>
      <c r="E17" s="311" t="s">
        <v>1528</v>
      </c>
      <c r="F17" s="248" t="s">
        <v>1529</v>
      </c>
      <c r="G17" s="96">
        <v>40930</v>
      </c>
    </row>
    <row r="18" spans="1:7" ht="19.5" customHeight="1">
      <c r="A18" s="98">
        <v>14</v>
      </c>
      <c r="B18" s="109"/>
      <c r="C18" s="471"/>
      <c r="D18" s="605" t="s">
        <v>1822</v>
      </c>
      <c r="E18" s="311" t="s">
        <v>1838</v>
      </c>
      <c r="F18" s="248" t="s">
        <v>1839</v>
      </c>
      <c r="G18" s="96">
        <v>40805</v>
      </c>
    </row>
    <row r="19" spans="1:7" ht="19.5" customHeight="1">
      <c r="A19" s="98">
        <v>15</v>
      </c>
      <c r="B19" s="109"/>
      <c r="C19" s="471"/>
      <c r="D19" s="178"/>
      <c r="E19" s="396" t="s">
        <v>1397</v>
      </c>
      <c r="F19" s="244" t="s">
        <v>1398</v>
      </c>
      <c r="G19" s="96">
        <v>40632</v>
      </c>
    </row>
    <row r="20" spans="1:7" ht="19.5" customHeight="1">
      <c r="A20" s="98">
        <v>16</v>
      </c>
      <c r="B20" s="109"/>
      <c r="C20" s="471"/>
      <c r="D20" s="178"/>
      <c r="E20" s="311" t="s">
        <v>1399</v>
      </c>
      <c r="F20" s="248" t="s">
        <v>1400</v>
      </c>
      <c r="G20" s="96">
        <v>40927</v>
      </c>
    </row>
    <row r="21" spans="1:7" ht="19.5" customHeight="1">
      <c r="A21" s="98">
        <v>17</v>
      </c>
      <c r="B21" s="109"/>
      <c r="C21" s="471"/>
      <c r="D21" s="178"/>
      <c r="E21" s="396" t="s">
        <v>1755</v>
      </c>
      <c r="F21" s="244" t="s">
        <v>1756</v>
      </c>
      <c r="G21" s="96">
        <v>40715</v>
      </c>
    </row>
    <row r="22" spans="1:7" ht="19.5" customHeight="1">
      <c r="A22" s="98">
        <v>18</v>
      </c>
      <c r="B22" s="109"/>
      <c r="C22" s="471"/>
      <c r="D22" s="178"/>
      <c r="E22" s="396" t="s">
        <v>1757</v>
      </c>
      <c r="F22" s="244" t="s">
        <v>1758</v>
      </c>
      <c r="G22" s="432">
        <v>40890</v>
      </c>
    </row>
    <row r="23" spans="1:7" ht="19.5" customHeight="1">
      <c r="A23" s="98">
        <v>19</v>
      </c>
      <c r="B23" s="109"/>
      <c r="C23" s="471"/>
      <c r="D23" s="579"/>
      <c r="E23" s="396" t="s">
        <v>1857</v>
      </c>
      <c r="F23" s="244" t="s">
        <v>1759</v>
      </c>
      <c r="G23" s="96">
        <v>41007</v>
      </c>
    </row>
    <row r="24" spans="1:7" ht="19.5" customHeight="1">
      <c r="A24" s="98">
        <v>20</v>
      </c>
      <c r="B24" s="109"/>
      <c r="C24" s="471"/>
      <c r="D24" s="178"/>
      <c r="E24" s="396" t="s">
        <v>1760</v>
      </c>
      <c r="F24" s="244" t="s">
        <v>1761</v>
      </c>
      <c r="G24" s="96">
        <v>41020</v>
      </c>
    </row>
    <row r="25" spans="1:7" ht="19.5" customHeight="1">
      <c r="A25" s="98">
        <v>21</v>
      </c>
      <c r="B25" s="109"/>
      <c r="C25" s="471"/>
      <c r="D25" s="579"/>
      <c r="E25" s="439" t="s">
        <v>1532</v>
      </c>
      <c r="F25" s="407" t="s">
        <v>1533</v>
      </c>
      <c r="G25" s="96">
        <v>40835</v>
      </c>
    </row>
    <row r="26" spans="1:7" ht="19.5" customHeight="1">
      <c r="A26" s="98">
        <v>22</v>
      </c>
      <c r="B26" s="109"/>
      <c r="C26" s="471"/>
      <c r="D26" s="579"/>
      <c r="E26" s="442" t="s">
        <v>1536</v>
      </c>
      <c r="F26" s="443" t="s">
        <v>1537</v>
      </c>
      <c r="G26" s="275">
        <v>40899</v>
      </c>
    </row>
    <row r="27" spans="1:7" ht="19.5" customHeight="1">
      <c r="A27" s="98">
        <v>23</v>
      </c>
      <c r="B27" s="109"/>
      <c r="C27" s="471"/>
      <c r="D27" s="579"/>
      <c r="E27" s="311" t="s">
        <v>1762</v>
      </c>
      <c r="F27" s="248" t="s">
        <v>1763</v>
      </c>
      <c r="G27" s="96">
        <v>40783</v>
      </c>
    </row>
    <row r="28" spans="1:7" ht="19.5" customHeight="1">
      <c r="A28" s="98">
        <v>24</v>
      </c>
      <c r="B28" s="109"/>
      <c r="C28" s="471"/>
      <c r="D28" s="178"/>
      <c r="E28" s="439" t="s">
        <v>1520</v>
      </c>
      <c r="F28" s="407" t="s">
        <v>1521</v>
      </c>
      <c r="G28" s="96">
        <v>40870</v>
      </c>
    </row>
    <row r="29" spans="1:7" ht="19.5" customHeight="1">
      <c r="A29" s="98">
        <v>25</v>
      </c>
      <c r="B29" s="109"/>
      <c r="C29" s="471"/>
      <c r="D29" s="178"/>
      <c r="E29" s="311" t="s">
        <v>1545</v>
      </c>
      <c r="F29" s="248" t="s">
        <v>1546</v>
      </c>
      <c r="G29" s="96">
        <v>40725</v>
      </c>
    </row>
    <row r="30" spans="1:7" ht="19.5" customHeight="1">
      <c r="A30" s="98">
        <v>26</v>
      </c>
      <c r="B30" s="109"/>
      <c r="C30" s="471"/>
      <c r="D30" s="178"/>
      <c r="E30" s="396" t="s">
        <v>1764</v>
      </c>
      <c r="F30" s="244" t="s">
        <v>1765</v>
      </c>
      <c r="G30" s="96">
        <v>40990</v>
      </c>
    </row>
    <row r="31" spans="1:7" ht="19.5" customHeight="1">
      <c r="A31" s="98">
        <v>27</v>
      </c>
      <c r="B31" s="109"/>
      <c r="C31" s="471"/>
      <c r="D31" s="178"/>
      <c r="E31" s="396" t="s">
        <v>1766</v>
      </c>
      <c r="F31" s="244" t="s">
        <v>1767</v>
      </c>
      <c r="G31" s="96">
        <v>40783</v>
      </c>
    </row>
    <row r="32" spans="1:7" ht="19.5" customHeight="1">
      <c r="A32" s="98">
        <v>28</v>
      </c>
      <c r="B32" s="109"/>
      <c r="C32" s="471"/>
      <c r="D32" s="178"/>
      <c r="E32" s="396" t="s">
        <v>1768</v>
      </c>
      <c r="F32" s="244" t="s">
        <v>1769</v>
      </c>
      <c r="G32" s="96">
        <v>40738</v>
      </c>
    </row>
    <row r="33" spans="1:11" ht="19.5" customHeight="1">
      <c r="A33" s="98">
        <v>29</v>
      </c>
      <c r="B33" s="109"/>
      <c r="C33" s="471"/>
      <c r="D33" s="579"/>
      <c r="E33" s="396" t="s">
        <v>1526</v>
      </c>
      <c r="F33" s="244" t="s">
        <v>1527</v>
      </c>
      <c r="G33" s="96">
        <v>41007</v>
      </c>
    </row>
    <row r="34" spans="1:11" ht="19.5" customHeight="1">
      <c r="A34" s="98">
        <v>30</v>
      </c>
      <c r="B34" s="109"/>
      <c r="C34" s="471"/>
      <c r="D34" s="178"/>
      <c r="E34" s="396" t="s">
        <v>1770</v>
      </c>
      <c r="F34" s="244" t="s">
        <v>1771</v>
      </c>
      <c r="G34" s="96">
        <v>40849</v>
      </c>
    </row>
    <row r="35" spans="1:11" ht="19.5" customHeight="1">
      <c r="A35" s="98">
        <v>31</v>
      </c>
      <c r="B35" s="109"/>
      <c r="C35" s="471"/>
      <c r="D35" s="178"/>
      <c r="E35" s="437" t="s">
        <v>1538</v>
      </c>
      <c r="F35" s="438" t="s">
        <v>1539</v>
      </c>
      <c r="G35" s="275">
        <v>40807</v>
      </c>
    </row>
    <row r="36" spans="1:11" ht="19.5" customHeight="1">
      <c r="A36" s="98">
        <v>32</v>
      </c>
      <c r="B36" s="109"/>
      <c r="C36" s="471"/>
      <c r="D36" s="178"/>
      <c r="E36" s="396" t="s">
        <v>1407</v>
      </c>
      <c r="F36" s="244" t="s">
        <v>1408</v>
      </c>
      <c r="G36" s="96">
        <v>40500</v>
      </c>
    </row>
    <row r="37" spans="1:11" ht="19.5" customHeight="1">
      <c r="A37" s="98">
        <v>33</v>
      </c>
      <c r="B37" s="109"/>
      <c r="C37" s="471"/>
      <c r="D37" s="580"/>
      <c r="E37" s="311" t="s">
        <v>1772</v>
      </c>
      <c r="F37" s="248" t="s">
        <v>1773</v>
      </c>
      <c r="G37" s="96">
        <v>40791</v>
      </c>
    </row>
    <row r="38" spans="1:11" ht="19.5" customHeight="1">
      <c r="A38" s="98">
        <v>34</v>
      </c>
      <c r="B38" s="109"/>
      <c r="C38" s="472"/>
      <c r="D38" s="184"/>
      <c r="E38" s="437" t="s">
        <v>1518</v>
      </c>
      <c r="F38" s="438" t="s">
        <v>1519</v>
      </c>
      <c r="G38" s="275">
        <v>40935</v>
      </c>
    </row>
    <row r="39" spans="1:11" ht="19.5" customHeight="1">
      <c r="A39" s="98">
        <v>35</v>
      </c>
      <c r="B39" s="109"/>
      <c r="C39" s="473"/>
      <c r="D39" s="581"/>
      <c r="E39" s="396" t="s">
        <v>1540</v>
      </c>
      <c r="F39" s="244" t="s">
        <v>1517</v>
      </c>
      <c r="G39" s="96">
        <v>40967</v>
      </c>
    </row>
    <row r="40" spans="1:11" ht="19.5" customHeight="1">
      <c r="A40" s="98">
        <v>36</v>
      </c>
      <c r="B40" s="109"/>
      <c r="C40" s="474"/>
      <c r="D40" s="178"/>
      <c r="E40" s="396" t="s">
        <v>1403</v>
      </c>
      <c r="F40" s="244" t="s">
        <v>1404</v>
      </c>
      <c r="G40" s="96">
        <v>40862</v>
      </c>
    </row>
    <row r="41" spans="1:11" ht="19.5" customHeight="1">
      <c r="A41" s="98">
        <v>37</v>
      </c>
      <c r="B41" s="109"/>
      <c r="C41" s="474"/>
      <c r="D41" s="618" t="s">
        <v>1877</v>
      </c>
      <c r="E41" s="396" t="s">
        <v>1019</v>
      </c>
      <c r="F41" s="244" t="s">
        <v>1020</v>
      </c>
      <c r="G41" s="96">
        <v>40549</v>
      </c>
    </row>
    <row r="42" spans="1:11" ht="19.5" customHeight="1">
      <c r="A42" s="98">
        <v>38</v>
      </c>
      <c r="B42" s="109"/>
      <c r="C42" s="475"/>
      <c r="D42" s="195"/>
      <c r="E42" s="439" t="s">
        <v>1515</v>
      </c>
      <c r="F42" s="407" t="s">
        <v>1516</v>
      </c>
      <c r="G42" s="96">
        <v>40752</v>
      </c>
    </row>
    <row r="43" spans="1:11" ht="19.5" customHeight="1">
      <c r="A43" s="98">
        <v>39</v>
      </c>
      <c r="B43" s="109"/>
      <c r="C43" s="476"/>
      <c r="D43" s="606" t="s">
        <v>1823</v>
      </c>
      <c r="E43" s="396" t="s">
        <v>1664</v>
      </c>
      <c r="F43" s="244" t="s">
        <v>1665</v>
      </c>
      <c r="G43" s="96">
        <v>40400</v>
      </c>
    </row>
    <row r="44" spans="1:11" ht="19.5" customHeight="1">
      <c r="A44" s="98">
        <v>40</v>
      </c>
      <c r="B44" s="109"/>
      <c r="C44" s="476"/>
      <c r="D44" s="195"/>
      <c r="E44" s="311" t="s">
        <v>1549</v>
      </c>
      <c r="F44" s="248" t="s">
        <v>1550</v>
      </c>
      <c r="G44" s="96">
        <v>40974</v>
      </c>
    </row>
    <row r="45" spans="1:11" ht="19.5" customHeight="1">
      <c r="A45" s="98">
        <v>41</v>
      </c>
      <c r="B45" s="109"/>
      <c r="C45" s="476"/>
      <c r="D45" s="607" t="s">
        <v>1822</v>
      </c>
      <c r="E45" s="439" t="s">
        <v>1666</v>
      </c>
      <c r="F45" s="407" t="s">
        <v>1668</v>
      </c>
      <c r="G45" s="96">
        <v>40658</v>
      </c>
      <c r="K45" t="s">
        <v>12</v>
      </c>
    </row>
    <row r="46" spans="1:11" ht="19.5" customHeight="1">
      <c r="A46" s="98">
        <v>42</v>
      </c>
      <c r="B46" s="109"/>
      <c r="C46" s="477"/>
      <c r="D46" s="582"/>
      <c r="E46" s="449" t="s">
        <v>1796</v>
      </c>
      <c r="F46" s="96" t="s">
        <v>1797</v>
      </c>
      <c r="G46" s="96">
        <v>41013</v>
      </c>
    </row>
    <row r="47" spans="1:11" ht="19.5" customHeight="1">
      <c r="A47" s="98">
        <v>43</v>
      </c>
      <c r="B47" s="109"/>
      <c r="C47" s="476"/>
      <c r="D47" s="582"/>
      <c r="E47" s="448" t="s">
        <v>1401</v>
      </c>
      <c r="F47" s="104" t="s">
        <v>1402</v>
      </c>
      <c r="G47" s="96">
        <v>40950</v>
      </c>
    </row>
    <row r="48" spans="1:11" ht="19.5" customHeight="1">
      <c r="A48" s="98">
        <v>44</v>
      </c>
      <c r="B48" s="93"/>
      <c r="C48" s="476"/>
      <c r="D48" s="195"/>
      <c r="E48" s="613" t="s">
        <v>1405</v>
      </c>
      <c r="F48" s="97" t="s">
        <v>1406</v>
      </c>
      <c r="G48" s="96">
        <v>40684</v>
      </c>
    </row>
    <row r="49" spans="1:7" ht="19.5" customHeight="1" thickBot="1">
      <c r="A49" s="90">
        <v>45</v>
      </c>
      <c r="B49" s="167"/>
      <c r="C49" s="612"/>
      <c r="D49" s="568"/>
      <c r="E49" s="569" t="s">
        <v>1790</v>
      </c>
      <c r="F49" s="315" t="s">
        <v>1791</v>
      </c>
      <c r="G49" s="315">
        <v>40825</v>
      </c>
    </row>
    <row r="50" spans="1:7" ht="19.5" customHeight="1" thickBot="1">
      <c r="A50" s="110" t="s">
        <v>10</v>
      </c>
      <c r="B50" s="227"/>
      <c r="C50" s="112"/>
      <c r="D50" s="674" t="s">
        <v>1880</v>
      </c>
      <c r="E50" s="675"/>
      <c r="F50" s="676" t="s">
        <v>11</v>
      </c>
      <c r="G50" s="677"/>
    </row>
    <row r="51" spans="1:7" ht="19.5" customHeight="1">
      <c r="A51" s="678"/>
      <c r="B51" s="679"/>
      <c r="C51" s="679"/>
      <c r="D51" s="679"/>
      <c r="E51" s="679"/>
      <c r="F51" s="679"/>
      <c r="G51" s="680"/>
    </row>
    <row r="52" spans="1:7" ht="19.5" customHeight="1">
      <c r="A52" s="681"/>
      <c r="B52" s="682"/>
      <c r="C52" s="682"/>
      <c r="D52" s="682"/>
      <c r="E52" s="682"/>
      <c r="F52" s="682"/>
      <c r="G52" s="683"/>
    </row>
  </sheetData>
  <sortState xmlns:xlrd2="http://schemas.microsoft.com/office/spreadsheetml/2017/richdata2" ref="D6:G49">
    <sortCondition ref="E6:E49"/>
  </sortState>
  <mergeCells count="11">
    <mergeCell ref="F3:F4"/>
    <mergeCell ref="D50:E50"/>
    <mergeCell ref="F50:G50"/>
    <mergeCell ref="A51:G52"/>
    <mergeCell ref="A1:D1"/>
    <mergeCell ref="E1:G1"/>
    <mergeCell ref="A2:G2"/>
    <mergeCell ref="A3:A4"/>
    <mergeCell ref="B3:B4"/>
    <mergeCell ref="C3:D3"/>
    <mergeCell ref="G3:G4"/>
  </mergeCells>
  <phoneticPr fontId="16" type="noConversion"/>
  <conditionalFormatting sqref="E6:E35">
    <cfRule type="cellIs" dxfId="62" priority="1" stopIfTrue="1" operator="between">
      <formula>1</formula>
      <formula>3.9</formula>
    </cfRule>
  </conditionalFormatting>
  <conditionalFormatting sqref="E37:E38">
    <cfRule type="cellIs" dxfId="61" priority="5" stopIfTrue="1" operator="between">
      <formula>1</formula>
      <formula>3.9</formula>
    </cfRule>
  </conditionalFormatting>
  <conditionalFormatting sqref="E44:E46">
    <cfRule type="cellIs" dxfId="60" priority="2" stopIfTrue="1" operator="between">
      <formula>1</formula>
      <formula>3.9</formula>
    </cfRule>
  </conditionalFormatting>
  <pageMargins left="0.7" right="0.7" top="0.75" bottom="0.75" header="0.3" footer="0.3"/>
  <pageSetup paperSize="5" scale="72" orientation="portrait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52"/>
  <sheetViews>
    <sheetView showGridLines="0" topLeftCell="A36" zoomScaleNormal="100" workbookViewId="0">
      <selection activeCell="L42" sqref="L42"/>
    </sheetView>
  </sheetViews>
  <sheetFormatPr baseColWidth="10" defaultColWidth="12.5703125" defaultRowHeight="15" customHeight="1"/>
  <cols>
    <col min="1" max="2" width="5.7109375" customWidth="1"/>
    <col min="3" max="3" width="10.7109375" customWidth="1"/>
    <col min="4" max="4" width="14.28515625" customWidth="1"/>
    <col min="5" max="5" width="60.7109375" customWidth="1"/>
    <col min="6" max="7" width="14.7109375" customWidth="1"/>
    <col min="8" max="8" width="7.28515625" customWidth="1"/>
    <col min="9" max="13" width="11.42578125" customWidth="1"/>
    <col min="14" max="26" width="10.5703125" customWidth="1"/>
  </cols>
  <sheetData>
    <row r="1" spans="1:13" ht="72.75" customHeight="1" thickBot="1">
      <c r="A1" s="684"/>
      <c r="B1" s="685"/>
      <c r="C1" s="685"/>
      <c r="D1" s="685"/>
      <c r="E1" s="686" t="s">
        <v>0</v>
      </c>
      <c r="F1" s="685"/>
      <c r="G1" s="687"/>
      <c r="H1" s="1"/>
      <c r="I1" s="2"/>
      <c r="J1" s="2"/>
      <c r="K1" s="2"/>
      <c r="L1" s="2"/>
      <c r="M1" s="2"/>
    </row>
    <row r="2" spans="1:13" ht="19.5" customHeight="1" thickBot="1">
      <c r="A2" s="688" t="s">
        <v>1</v>
      </c>
      <c r="B2" s="700"/>
      <c r="C2" s="700"/>
      <c r="D2" s="700"/>
      <c r="E2" s="700"/>
      <c r="F2" s="700"/>
      <c r="G2" s="701"/>
      <c r="I2" s="3"/>
      <c r="J2" s="3"/>
      <c r="K2" s="3"/>
      <c r="L2" s="3"/>
      <c r="M2" s="3" t="s">
        <v>12</v>
      </c>
    </row>
    <row r="3" spans="1:13" ht="19.5" customHeight="1" thickBot="1">
      <c r="A3" s="702" t="s">
        <v>2</v>
      </c>
      <c r="B3" s="704" t="s">
        <v>3</v>
      </c>
      <c r="C3" s="693" t="s">
        <v>4</v>
      </c>
      <c r="D3" s="677"/>
      <c r="E3" s="120" t="s">
        <v>1373</v>
      </c>
      <c r="F3" s="672" t="s">
        <v>5</v>
      </c>
      <c r="G3" s="691" t="s">
        <v>6</v>
      </c>
      <c r="H3" s="16"/>
      <c r="I3" s="17"/>
      <c r="J3" s="17"/>
      <c r="K3" s="17"/>
      <c r="L3" s="17"/>
      <c r="M3" s="17"/>
    </row>
    <row r="4" spans="1:13" ht="19.5" customHeight="1" thickBot="1">
      <c r="A4" s="703"/>
      <c r="B4" s="705"/>
      <c r="C4" s="126" t="s">
        <v>7</v>
      </c>
      <c r="D4" s="124" t="s">
        <v>8</v>
      </c>
      <c r="E4" s="121" t="s">
        <v>9</v>
      </c>
      <c r="F4" s="699"/>
      <c r="G4" s="673"/>
      <c r="H4" s="18"/>
      <c r="I4" s="17"/>
      <c r="J4" s="17"/>
      <c r="K4" s="17"/>
      <c r="L4" s="17"/>
      <c r="M4" s="17"/>
    </row>
    <row r="5" spans="1:13" ht="19.5" customHeight="1">
      <c r="A5" s="89">
        <v>1</v>
      </c>
      <c r="B5" s="108"/>
      <c r="C5" s="154"/>
      <c r="D5" s="583"/>
      <c r="E5" s="560" t="s">
        <v>1721</v>
      </c>
      <c r="F5" s="561" t="s">
        <v>1722</v>
      </c>
      <c r="G5" s="123">
        <v>40756</v>
      </c>
      <c r="H5" s="8"/>
      <c r="I5" s="13"/>
      <c r="J5" s="13"/>
      <c r="K5" s="13"/>
      <c r="L5" s="13"/>
      <c r="M5" s="13"/>
    </row>
    <row r="6" spans="1:13" ht="19.5" customHeight="1">
      <c r="A6" s="98">
        <v>2</v>
      </c>
      <c r="B6" s="109"/>
      <c r="C6" s="478"/>
      <c r="D6" s="195"/>
      <c r="E6" s="439" t="s">
        <v>1725</v>
      </c>
      <c r="F6" s="479" t="s">
        <v>1726</v>
      </c>
      <c r="G6" s="96">
        <v>40851</v>
      </c>
      <c r="H6" s="8"/>
      <c r="I6" s="9"/>
      <c r="J6" s="14"/>
      <c r="K6" s="14"/>
      <c r="L6" s="14"/>
      <c r="M6" s="14"/>
    </row>
    <row r="7" spans="1:13" ht="19.5" customHeight="1">
      <c r="A7" s="98">
        <v>3</v>
      </c>
      <c r="B7" s="109"/>
      <c r="C7" s="478"/>
      <c r="D7" s="197"/>
      <c r="E7" s="311" t="s">
        <v>1727</v>
      </c>
      <c r="F7" s="312" t="s">
        <v>1728</v>
      </c>
      <c r="G7" s="96">
        <v>40722</v>
      </c>
      <c r="H7" s="8"/>
      <c r="I7" s="14"/>
      <c r="J7" s="14"/>
      <c r="K7" s="14"/>
      <c r="L7" s="14"/>
      <c r="M7" s="14"/>
    </row>
    <row r="8" spans="1:13" ht="19.5" customHeight="1">
      <c r="A8" s="98">
        <v>4</v>
      </c>
      <c r="B8" s="109"/>
      <c r="C8" s="478"/>
      <c r="D8" s="195"/>
      <c r="E8" s="481" t="s">
        <v>1729</v>
      </c>
      <c r="F8" s="482" t="s">
        <v>1730</v>
      </c>
      <c r="G8" s="275">
        <v>40759</v>
      </c>
      <c r="H8" s="8"/>
      <c r="I8" s="9"/>
      <c r="J8" s="9"/>
      <c r="K8" s="9"/>
      <c r="L8" s="9"/>
      <c r="M8" s="9"/>
    </row>
    <row r="9" spans="1:13" ht="19.5" customHeight="1">
      <c r="A9" s="98">
        <v>5</v>
      </c>
      <c r="B9" s="109"/>
      <c r="C9" s="478"/>
      <c r="D9" s="200"/>
      <c r="E9" s="311" t="s">
        <v>1481</v>
      </c>
      <c r="F9" s="312" t="s">
        <v>1482</v>
      </c>
      <c r="G9" s="96">
        <v>40612</v>
      </c>
      <c r="H9" s="8"/>
      <c r="I9" s="14"/>
      <c r="J9" s="14"/>
      <c r="K9" s="14"/>
      <c r="L9" s="14"/>
      <c r="M9" s="14"/>
    </row>
    <row r="10" spans="1:13" ht="19.5" customHeight="1">
      <c r="A10" s="98">
        <v>6</v>
      </c>
      <c r="B10" s="109"/>
      <c r="C10" s="478"/>
      <c r="D10" s="195"/>
      <c r="E10" s="439" t="s">
        <v>1475</v>
      </c>
      <c r="F10" s="479" t="s">
        <v>1476</v>
      </c>
      <c r="G10" s="96">
        <v>40779</v>
      </c>
      <c r="H10" s="8"/>
      <c r="I10" s="14"/>
      <c r="J10" s="14"/>
      <c r="K10" s="14"/>
      <c r="L10" s="14"/>
      <c r="M10" s="14"/>
    </row>
    <row r="11" spans="1:13" ht="19.5" customHeight="1">
      <c r="A11" s="98">
        <v>7</v>
      </c>
      <c r="B11" s="109"/>
      <c r="C11" s="478"/>
      <c r="D11" s="197"/>
      <c r="E11" s="311" t="s">
        <v>1422</v>
      </c>
      <c r="F11" s="312" t="s">
        <v>1423</v>
      </c>
      <c r="G11" s="96">
        <v>40917</v>
      </c>
      <c r="H11" s="8"/>
      <c r="I11" s="14"/>
      <c r="J11" s="14"/>
      <c r="K11" s="14"/>
      <c r="L11" s="14"/>
      <c r="M11" s="14"/>
    </row>
    <row r="12" spans="1:13" ht="19.5" customHeight="1">
      <c r="A12" s="98">
        <v>8</v>
      </c>
      <c r="B12" s="109"/>
      <c r="C12" s="478"/>
      <c r="D12" s="97"/>
      <c r="E12" s="396" t="s">
        <v>1846</v>
      </c>
      <c r="F12" s="266" t="s">
        <v>1847</v>
      </c>
      <c r="G12" s="96">
        <v>40713</v>
      </c>
      <c r="H12" s="8"/>
      <c r="I12" s="14"/>
      <c r="J12" s="14" t="s">
        <v>12</v>
      </c>
      <c r="K12" s="14"/>
      <c r="L12" s="14"/>
      <c r="M12" s="14"/>
    </row>
    <row r="13" spans="1:13" ht="19.5" customHeight="1">
      <c r="A13" s="98">
        <v>9</v>
      </c>
      <c r="B13" s="109"/>
      <c r="C13" s="478"/>
      <c r="D13" s="197"/>
      <c r="E13" s="311" t="s">
        <v>1427</v>
      </c>
      <c r="F13" s="312" t="s">
        <v>1428</v>
      </c>
      <c r="G13" s="96">
        <v>40989</v>
      </c>
      <c r="H13" s="8"/>
      <c r="I13" s="14"/>
      <c r="J13" s="14"/>
      <c r="K13" s="14"/>
      <c r="L13" s="14"/>
      <c r="M13" s="14"/>
    </row>
    <row r="14" spans="1:13" ht="19.5" customHeight="1">
      <c r="A14" s="98">
        <v>10</v>
      </c>
      <c r="B14" s="109"/>
      <c r="C14" s="478"/>
      <c r="D14" s="608" t="s">
        <v>1823</v>
      </c>
      <c r="E14" s="480" t="s">
        <v>1644</v>
      </c>
      <c r="F14" s="265" t="s">
        <v>1645</v>
      </c>
      <c r="G14" s="275">
        <v>40525</v>
      </c>
      <c r="H14" s="8"/>
      <c r="I14" s="14"/>
      <c r="J14" s="14"/>
      <c r="K14" s="14"/>
      <c r="L14" s="14"/>
      <c r="M14" s="14"/>
    </row>
    <row r="15" spans="1:13" ht="19.5" customHeight="1">
      <c r="A15" s="98">
        <v>11</v>
      </c>
      <c r="B15" s="109"/>
      <c r="C15" s="478"/>
      <c r="D15" s="195"/>
      <c r="E15" s="311" t="s">
        <v>1718</v>
      </c>
      <c r="F15" s="312" t="s">
        <v>1421</v>
      </c>
      <c r="G15" s="96">
        <v>40725</v>
      </c>
      <c r="H15" s="8"/>
      <c r="I15" s="14"/>
      <c r="J15" s="14"/>
      <c r="K15" s="14"/>
      <c r="L15" s="14"/>
      <c r="M15" s="14"/>
    </row>
    <row r="16" spans="1:13" ht="19.5" customHeight="1">
      <c r="A16" s="98">
        <v>12</v>
      </c>
      <c r="B16" s="109"/>
      <c r="C16" s="478"/>
      <c r="D16" s="608" t="s">
        <v>1822</v>
      </c>
      <c r="E16" s="311" t="s">
        <v>1643</v>
      </c>
      <c r="F16" s="312" t="s">
        <v>1806</v>
      </c>
      <c r="G16" s="96">
        <v>40799</v>
      </c>
      <c r="H16" s="8"/>
      <c r="I16" s="14"/>
      <c r="J16" s="14"/>
      <c r="K16" s="14"/>
      <c r="L16" s="14"/>
      <c r="M16" s="14"/>
    </row>
    <row r="17" spans="1:7" ht="19.5" customHeight="1">
      <c r="A17" s="98">
        <v>13</v>
      </c>
      <c r="B17" s="109"/>
      <c r="C17" s="478"/>
      <c r="D17" s="196"/>
      <c r="E17" s="490" t="s">
        <v>1459</v>
      </c>
      <c r="F17" s="570" t="s">
        <v>1460</v>
      </c>
      <c r="G17" s="275">
        <v>40994</v>
      </c>
    </row>
    <row r="18" spans="1:7" ht="19.5" customHeight="1">
      <c r="A18" s="98">
        <v>14</v>
      </c>
      <c r="B18" s="109"/>
      <c r="C18" s="478"/>
      <c r="D18" s="195"/>
      <c r="E18" s="311" t="s">
        <v>1744</v>
      </c>
      <c r="F18" s="312" t="s">
        <v>1745</v>
      </c>
      <c r="G18" s="96">
        <v>40724</v>
      </c>
    </row>
    <row r="19" spans="1:7" ht="19.5" customHeight="1">
      <c r="A19" s="98">
        <v>15</v>
      </c>
      <c r="B19" s="109"/>
      <c r="C19" s="478"/>
      <c r="D19" s="195"/>
      <c r="E19" s="311" t="s">
        <v>1511</v>
      </c>
      <c r="F19" s="312" t="s">
        <v>1512</v>
      </c>
      <c r="G19" s="96">
        <v>40833</v>
      </c>
    </row>
    <row r="20" spans="1:7" ht="19.5" customHeight="1">
      <c r="A20" s="98">
        <v>16</v>
      </c>
      <c r="B20" s="109"/>
      <c r="C20" s="478"/>
      <c r="D20" s="197"/>
      <c r="E20" s="439" t="s">
        <v>1467</v>
      </c>
      <c r="F20" s="479" t="s">
        <v>1468</v>
      </c>
      <c r="G20" s="96">
        <v>40928</v>
      </c>
    </row>
    <row r="21" spans="1:7" ht="19.5" customHeight="1">
      <c r="A21" s="98">
        <v>17</v>
      </c>
      <c r="B21" s="109"/>
      <c r="C21" s="478"/>
      <c r="D21" s="195"/>
      <c r="E21" s="311" t="s">
        <v>1461</v>
      </c>
      <c r="F21" s="312" t="s">
        <v>1462</v>
      </c>
      <c r="G21" s="96">
        <v>40976</v>
      </c>
    </row>
    <row r="22" spans="1:7" ht="19.5" customHeight="1">
      <c r="A22" s="98">
        <v>18</v>
      </c>
      <c r="B22" s="109"/>
      <c r="C22" s="478"/>
      <c r="D22" s="195"/>
      <c r="E22" s="439" t="s">
        <v>1419</v>
      </c>
      <c r="F22" s="479" t="s">
        <v>1420</v>
      </c>
      <c r="G22" s="96">
        <v>40852</v>
      </c>
    </row>
    <row r="23" spans="1:7" ht="19.5" customHeight="1">
      <c r="A23" s="98">
        <v>19</v>
      </c>
      <c r="B23" s="109"/>
      <c r="C23" s="478"/>
      <c r="D23" s="197"/>
      <c r="E23" s="311" t="s">
        <v>1425</v>
      </c>
      <c r="F23" s="312" t="s">
        <v>1426</v>
      </c>
      <c r="G23" s="96">
        <v>40924</v>
      </c>
    </row>
    <row r="24" spans="1:7" ht="19.5" customHeight="1">
      <c r="A24" s="98">
        <v>20</v>
      </c>
      <c r="B24" s="109"/>
      <c r="C24" s="478"/>
      <c r="D24" s="195"/>
      <c r="E24" s="311" t="s">
        <v>1751</v>
      </c>
      <c r="F24" s="312" t="s">
        <v>1752</v>
      </c>
      <c r="G24" s="96">
        <v>40922</v>
      </c>
    </row>
    <row r="25" spans="1:7" ht="19.5" customHeight="1">
      <c r="A25" s="98">
        <v>21</v>
      </c>
      <c r="B25" s="109"/>
      <c r="C25" s="478"/>
      <c r="D25" s="197"/>
      <c r="E25" s="439" t="s">
        <v>1465</v>
      </c>
      <c r="F25" s="479" t="s">
        <v>1466</v>
      </c>
      <c r="G25" s="96">
        <v>40822</v>
      </c>
    </row>
    <row r="26" spans="1:7" ht="19.5" customHeight="1">
      <c r="A26" s="98">
        <v>22</v>
      </c>
      <c r="B26" s="109"/>
      <c r="C26" s="478"/>
      <c r="D26" s="606" t="s">
        <v>1822</v>
      </c>
      <c r="E26" s="396" t="s">
        <v>1818</v>
      </c>
      <c r="F26" s="266" t="s">
        <v>1819</v>
      </c>
      <c r="G26" s="96">
        <v>40834</v>
      </c>
    </row>
    <row r="27" spans="1:7" ht="19.5" customHeight="1">
      <c r="A27" s="98">
        <v>23</v>
      </c>
      <c r="B27" s="109"/>
      <c r="C27" s="478"/>
      <c r="D27" s="195"/>
      <c r="E27" s="490" t="s">
        <v>1411</v>
      </c>
      <c r="F27" s="570" t="s">
        <v>1412</v>
      </c>
      <c r="G27" s="275">
        <v>40722</v>
      </c>
    </row>
    <row r="28" spans="1:7" ht="19.5" customHeight="1">
      <c r="A28" s="98">
        <v>24</v>
      </c>
      <c r="B28" s="109"/>
      <c r="C28" s="478"/>
      <c r="D28" s="195"/>
      <c r="E28" s="439" t="s">
        <v>1479</v>
      </c>
      <c r="F28" s="479" t="s">
        <v>1480</v>
      </c>
      <c r="G28" s="96">
        <v>40888</v>
      </c>
    </row>
    <row r="29" spans="1:7" ht="19.5" customHeight="1">
      <c r="A29" s="98">
        <v>25</v>
      </c>
      <c r="B29" s="109"/>
      <c r="C29" s="478"/>
      <c r="D29" s="197"/>
      <c r="E29" s="396" t="s">
        <v>1413</v>
      </c>
      <c r="F29" s="266" t="s">
        <v>1414</v>
      </c>
      <c r="G29" s="96">
        <v>40964</v>
      </c>
    </row>
    <row r="30" spans="1:7" ht="19.5" customHeight="1">
      <c r="A30" s="98">
        <v>26</v>
      </c>
      <c r="B30" s="109"/>
      <c r="C30" s="478"/>
      <c r="D30" s="606" t="s">
        <v>1823</v>
      </c>
      <c r="E30" s="311" t="s">
        <v>1667</v>
      </c>
      <c r="F30" s="312" t="s">
        <v>1640</v>
      </c>
      <c r="G30" s="96">
        <v>40955</v>
      </c>
    </row>
    <row r="31" spans="1:7" ht="19.5" customHeight="1">
      <c r="A31" s="98">
        <v>27</v>
      </c>
      <c r="B31" s="109"/>
      <c r="C31" s="478"/>
      <c r="D31" s="617" t="s">
        <v>1876</v>
      </c>
      <c r="E31" s="483" t="s">
        <v>1853</v>
      </c>
      <c r="F31" s="484" t="s">
        <v>1854</v>
      </c>
      <c r="G31" s="96">
        <v>40532</v>
      </c>
    </row>
    <row r="32" spans="1:7" ht="19.5" customHeight="1">
      <c r="A32" s="98">
        <v>28</v>
      </c>
      <c r="B32" s="109"/>
      <c r="C32" s="478"/>
      <c r="D32" s="197"/>
      <c r="E32" s="311" t="s">
        <v>1485</v>
      </c>
      <c r="F32" s="312" t="s">
        <v>1486</v>
      </c>
      <c r="G32" s="96">
        <v>40877</v>
      </c>
    </row>
    <row r="33" spans="1:11" ht="19.5" customHeight="1">
      <c r="A33" s="98">
        <v>29</v>
      </c>
      <c r="B33" s="109"/>
      <c r="C33" s="478"/>
      <c r="D33" s="195"/>
      <c r="E33" s="439" t="s">
        <v>1457</v>
      </c>
      <c r="F33" s="479" t="s">
        <v>1458</v>
      </c>
      <c r="G33" s="432">
        <v>40352</v>
      </c>
    </row>
    <row r="34" spans="1:11" ht="19.5" customHeight="1">
      <c r="A34" s="98">
        <v>30</v>
      </c>
      <c r="B34" s="109"/>
      <c r="C34" s="478"/>
      <c r="D34" s="195"/>
      <c r="E34" s="396" t="s">
        <v>1417</v>
      </c>
      <c r="F34" s="266" t="s">
        <v>1418</v>
      </c>
      <c r="G34" s="96">
        <v>40773</v>
      </c>
    </row>
    <row r="35" spans="1:11" ht="19.5" customHeight="1">
      <c r="A35" s="98">
        <v>31</v>
      </c>
      <c r="B35" s="109"/>
      <c r="C35" s="478"/>
      <c r="D35" s="197"/>
      <c r="E35" s="439" t="s">
        <v>1463</v>
      </c>
      <c r="F35" s="479" t="s">
        <v>1464</v>
      </c>
      <c r="G35" s="96">
        <v>40708</v>
      </c>
    </row>
    <row r="36" spans="1:11" ht="19.5" customHeight="1">
      <c r="A36" s="98">
        <v>32</v>
      </c>
      <c r="B36" s="109"/>
      <c r="C36" s="476"/>
      <c r="D36" s="606" t="s">
        <v>1822</v>
      </c>
      <c r="E36" s="480" t="s">
        <v>1716</v>
      </c>
      <c r="F36" s="265" t="s">
        <v>1553</v>
      </c>
      <c r="G36" s="275">
        <v>40696</v>
      </c>
    </row>
    <row r="37" spans="1:11" ht="19.5" customHeight="1">
      <c r="A37" s="98">
        <v>33</v>
      </c>
      <c r="B37" s="109"/>
      <c r="C37" s="476"/>
      <c r="D37" s="606" t="s">
        <v>1822</v>
      </c>
      <c r="E37" s="311" t="s">
        <v>1638</v>
      </c>
      <c r="F37" s="312" t="s">
        <v>1639</v>
      </c>
      <c r="G37" s="96">
        <v>40963</v>
      </c>
    </row>
    <row r="38" spans="1:11" ht="19.5" customHeight="1">
      <c r="A38" s="98">
        <v>34</v>
      </c>
      <c r="B38" s="109"/>
      <c r="C38" s="476"/>
      <c r="D38" s="195"/>
      <c r="E38" s="311" t="s">
        <v>1415</v>
      </c>
      <c r="F38" s="312" t="s">
        <v>1416</v>
      </c>
      <c r="G38" s="96">
        <v>40404</v>
      </c>
    </row>
    <row r="39" spans="1:11" ht="19.5" customHeight="1">
      <c r="A39" s="98">
        <v>35</v>
      </c>
      <c r="B39" s="109"/>
      <c r="C39" s="476"/>
      <c r="D39" s="197"/>
      <c r="E39" s="439" t="s">
        <v>1471</v>
      </c>
      <c r="F39" s="479" t="s">
        <v>1472</v>
      </c>
      <c r="G39" s="96">
        <v>40687</v>
      </c>
    </row>
    <row r="40" spans="1:11" ht="19.5" customHeight="1">
      <c r="A40" s="98">
        <v>36</v>
      </c>
      <c r="B40" s="109"/>
      <c r="C40" s="476"/>
      <c r="D40" s="195"/>
      <c r="E40" s="439" t="s">
        <v>1774</v>
      </c>
      <c r="F40" s="479" t="s">
        <v>1775</v>
      </c>
      <c r="G40" s="96">
        <v>40840</v>
      </c>
    </row>
    <row r="41" spans="1:11" ht="19.5" customHeight="1">
      <c r="A41" s="98">
        <v>37</v>
      </c>
      <c r="B41" s="109"/>
      <c r="C41" s="476"/>
      <c r="D41" s="195"/>
      <c r="E41" s="311" t="s">
        <v>1487</v>
      </c>
      <c r="F41" s="312" t="s">
        <v>1488</v>
      </c>
      <c r="G41" s="96">
        <v>40583</v>
      </c>
    </row>
    <row r="42" spans="1:11" ht="19.5" customHeight="1">
      <c r="A42" s="98">
        <v>38</v>
      </c>
      <c r="B42" s="109"/>
      <c r="C42" s="476"/>
      <c r="D42" s="195"/>
      <c r="E42" s="439" t="s">
        <v>1477</v>
      </c>
      <c r="F42" s="479" t="s">
        <v>1478</v>
      </c>
      <c r="G42" s="96">
        <v>40824</v>
      </c>
    </row>
    <row r="43" spans="1:11" ht="19.5" customHeight="1">
      <c r="A43" s="98">
        <v>39</v>
      </c>
      <c r="B43" s="109"/>
      <c r="C43" s="476"/>
      <c r="D43" s="195"/>
      <c r="E43" s="311" t="s">
        <v>1469</v>
      </c>
      <c r="F43" s="312" t="s">
        <v>1470</v>
      </c>
      <c r="G43" s="96">
        <v>41074</v>
      </c>
    </row>
    <row r="44" spans="1:11" ht="19.5" customHeight="1">
      <c r="A44" s="98">
        <v>40</v>
      </c>
      <c r="B44" s="109"/>
      <c r="C44" s="476"/>
      <c r="D44" s="195"/>
      <c r="E44" s="311" t="s">
        <v>1636</v>
      </c>
      <c r="F44" s="312" t="s">
        <v>1637</v>
      </c>
      <c r="G44" s="96">
        <v>40966</v>
      </c>
    </row>
    <row r="45" spans="1:11" ht="19.5" customHeight="1">
      <c r="A45" s="98">
        <v>41</v>
      </c>
      <c r="B45" s="109"/>
      <c r="C45" s="476"/>
      <c r="D45" s="195"/>
      <c r="E45" s="439" t="s">
        <v>1483</v>
      </c>
      <c r="F45" s="479" t="s">
        <v>1484</v>
      </c>
      <c r="G45" s="96">
        <v>40704</v>
      </c>
      <c r="I45" s="318"/>
      <c r="J45" s="318"/>
      <c r="K45" s="318"/>
    </row>
    <row r="46" spans="1:11" ht="19.5" customHeight="1">
      <c r="A46" s="98">
        <v>42</v>
      </c>
      <c r="B46" s="109"/>
      <c r="C46" s="476"/>
      <c r="D46" s="195"/>
      <c r="E46" s="247" t="s">
        <v>1409</v>
      </c>
      <c r="F46" s="248" t="s">
        <v>1410</v>
      </c>
      <c r="G46" s="96">
        <v>41067</v>
      </c>
      <c r="I46" s="318"/>
      <c r="J46" s="318"/>
      <c r="K46" s="318"/>
    </row>
    <row r="47" spans="1:11" ht="19.5" customHeight="1">
      <c r="A47" s="98">
        <v>43</v>
      </c>
      <c r="B47" s="109"/>
      <c r="C47" s="476"/>
      <c r="D47" s="221"/>
      <c r="E47" s="439" t="s">
        <v>1474</v>
      </c>
      <c r="F47" s="407" t="s">
        <v>1473</v>
      </c>
      <c r="G47" s="96">
        <v>40642</v>
      </c>
      <c r="I47" s="269"/>
      <c r="J47" s="262"/>
      <c r="K47" s="265"/>
    </row>
    <row r="48" spans="1:11" ht="19.5" customHeight="1">
      <c r="A48" s="98">
        <v>44</v>
      </c>
      <c r="B48" s="93"/>
      <c r="C48" s="476"/>
      <c r="D48" s="97"/>
      <c r="E48" s="483" t="s">
        <v>1798</v>
      </c>
      <c r="F48" s="484" t="s">
        <v>1799</v>
      </c>
      <c r="G48" s="96">
        <v>40775</v>
      </c>
      <c r="I48" s="269"/>
      <c r="J48" s="262"/>
      <c r="K48" s="265"/>
    </row>
    <row r="49" spans="1:7" ht="19.5" customHeight="1" thickBot="1">
      <c r="A49" s="90">
        <v>45</v>
      </c>
      <c r="B49" s="167"/>
      <c r="C49" s="612"/>
      <c r="D49" s="491"/>
      <c r="E49" s="425" t="s">
        <v>1792</v>
      </c>
      <c r="F49" s="614" t="s">
        <v>1793</v>
      </c>
      <c r="G49" s="315">
        <v>40984</v>
      </c>
    </row>
    <row r="50" spans="1:7" ht="19.5" customHeight="1" thickBot="1">
      <c r="A50" s="155" t="s">
        <v>10</v>
      </c>
      <c r="B50" s="167"/>
      <c r="C50" s="294"/>
      <c r="D50" s="694" t="s">
        <v>1881</v>
      </c>
      <c r="E50" s="695"/>
      <c r="F50" s="696" t="s">
        <v>11</v>
      </c>
      <c r="G50" s="697"/>
    </row>
    <row r="51" spans="1:7" ht="19.5" customHeight="1">
      <c r="A51" s="678"/>
      <c r="B51" s="679"/>
      <c r="C51" s="679"/>
      <c r="D51" s="679"/>
      <c r="E51" s="679"/>
      <c r="F51" s="679"/>
      <c r="G51" s="680"/>
    </row>
    <row r="52" spans="1:7" ht="19.5" customHeight="1" thickBot="1">
      <c r="A52" s="698"/>
      <c r="B52" s="682"/>
      <c r="C52" s="682"/>
      <c r="D52" s="682"/>
      <c r="E52" s="682"/>
      <c r="F52" s="682"/>
      <c r="G52" s="683"/>
    </row>
  </sheetData>
  <sortState xmlns:xlrd2="http://schemas.microsoft.com/office/spreadsheetml/2017/richdata2" ref="D6:G49">
    <sortCondition ref="E6:E49"/>
  </sortState>
  <mergeCells count="11">
    <mergeCell ref="D50:E50"/>
    <mergeCell ref="F50:G50"/>
    <mergeCell ref="A51:G52"/>
    <mergeCell ref="F3:F4"/>
    <mergeCell ref="A1:D1"/>
    <mergeCell ref="E1:G1"/>
    <mergeCell ref="A2:G2"/>
    <mergeCell ref="A3:A4"/>
    <mergeCell ref="B3:B4"/>
    <mergeCell ref="C3:D3"/>
    <mergeCell ref="G3:G4"/>
  </mergeCells>
  <phoneticPr fontId="16" type="noConversion"/>
  <conditionalFormatting sqref="E5:E13 E15:E34">
    <cfRule type="cellIs" dxfId="59" priority="5" stopIfTrue="1" operator="between">
      <formula>1</formula>
      <formula>3.9</formula>
    </cfRule>
  </conditionalFormatting>
  <conditionalFormatting sqref="E46:E48">
    <cfRule type="cellIs" dxfId="58" priority="1" stopIfTrue="1" operator="between">
      <formula>1</formula>
      <formula>3.9</formula>
    </cfRule>
  </conditionalFormatting>
  <pageMargins left="0.7" right="0.7" top="0.75" bottom="0.75" header="0.3" footer="0.3"/>
  <pageSetup paperSize="5" scale="72" orientation="portrait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H53"/>
  <sheetViews>
    <sheetView showGridLines="0" topLeftCell="A44" zoomScaleNormal="100" workbookViewId="0">
      <selection activeCell="F59" sqref="F59"/>
    </sheetView>
  </sheetViews>
  <sheetFormatPr baseColWidth="10" defaultColWidth="12.5703125" defaultRowHeight="15" customHeight="1"/>
  <cols>
    <col min="1" max="2" width="5.7109375" customWidth="1"/>
    <col min="3" max="3" width="10.7109375" customWidth="1"/>
    <col min="4" max="4" width="14.28515625" customWidth="1"/>
    <col min="5" max="5" width="60.7109375" customWidth="1"/>
    <col min="6" max="7" width="14.7109375" customWidth="1"/>
    <col min="8" max="8" width="7.28515625" customWidth="1"/>
    <col min="9" max="21" width="10.5703125" customWidth="1"/>
  </cols>
  <sheetData>
    <row r="1" spans="1:7" ht="72.75" customHeight="1" thickBot="1">
      <c r="A1" s="684"/>
      <c r="B1" s="685"/>
      <c r="C1" s="685"/>
      <c r="D1" s="685"/>
      <c r="E1" s="686" t="s">
        <v>0</v>
      </c>
      <c r="F1" s="685"/>
      <c r="G1" s="687"/>
    </row>
    <row r="2" spans="1:7" ht="19.5" customHeight="1" thickBot="1">
      <c r="A2" s="688" t="s">
        <v>1</v>
      </c>
      <c r="B2" s="700"/>
      <c r="C2" s="700"/>
      <c r="D2" s="700"/>
      <c r="E2" s="700"/>
      <c r="F2" s="700"/>
      <c r="G2" s="701"/>
    </row>
    <row r="3" spans="1:7" ht="19.5" customHeight="1">
      <c r="A3" s="691" t="s">
        <v>2</v>
      </c>
      <c r="B3" s="691" t="s">
        <v>3</v>
      </c>
      <c r="C3" s="713" t="s">
        <v>4</v>
      </c>
      <c r="D3" s="714"/>
      <c r="E3" s="4" t="s">
        <v>1374</v>
      </c>
      <c r="F3" s="691" t="s">
        <v>5</v>
      </c>
      <c r="G3" s="691" t="s">
        <v>6</v>
      </c>
    </row>
    <row r="4" spans="1:7" ht="19.5" customHeight="1" thickBot="1">
      <c r="A4" s="712"/>
      <c r="B4" s="673"/>
      <c r="C4" s="5" t="s">
        <v>7</v>
      </c>
      <c r="D4" s="5" t="s">
        <v>8</v>
      </c>
      <c r="E4" s="5" t="s">
        <v>9</v>
      </c>
      <c r="F4" s="673"/>
      <c r="G4" s="673"/>
    </row>
    <row r="5" spans="1:7" ht="19.5" customHeight="1">
      <c r="A5" s="114">
        <v>1</v>
      </c>
      <c r="B5" s="91"/>
      <c r="C5" s="87"/>
      <c r="D5" s="584"/>
      <c r="E5" s="554" t="s">
        <v>1840</v>
      </c>
      <c r="F5" s="555" t="s">
        <v>1429</v>
      </c>
      <c r="G5" s="258">
        <v>41058</v>
      </c>
    </row>
    <row r="6" spans="1:7" ht="19.5" customHeight="1">
      <c r="A6" s="115">
        <v>2</v>
      </c>
      <c r="B6" s="93"/>
      <c r="C6" s="88"/>
      <c r="D6" s="171"/>
      <c r="E6" s="270" t="s">
        <v>1495</v>
      </c>
      <c r="F6" s="186" t="s">
        <v>1496</v>
      </c>
      <c r="G6" s="275">
        <v>40961</v>
      </c>
    </row>
    <row r="7" spans="1:7" ht="19.5" customHeight="1">
      <c r="A7" s="114">
        <v>3</v>
      </c>
      <c r="B7" s="93"/>
      <c r="C7" s="88"/>
      <c r="D7" s="171"/>
      <c r="E7" s="271" t="s">
        <v>1437</v>
      </c>
      <c r="F7" s="82" t="s">
        <v>1438</v>
      </c>
      <c r="G7" s="82">
        <v>40987</v>
      </c>
    </row>
    <row r="8" spans="1:7" ht="19.5" customHeight="1">
      <c r="A8" s="114">
        <v>4</v>
      </c>
      <c r="B8" s="93"/>
      <c r="C8" s="88"/>
      <c r="D8" s="171"/>
      <c r="E8" s="485" t="s">
        <v>1738</v>
      </c>
      <c r="F8" s="82" t="s">
        <v>1739</v>
      </c>
      <c r="G8" s="82">
        <v>40370</v>
      </c>
    </row>
    <row r="9" spans="1:7" ht="19.5" customHeight="1">
      <c r="A9" s="115">
        <v>5</v>
      </c>
      <c r="B9" s="93"/>
      <c r="C9" s="170"/>
      <c r="D9" s="171"/>
      <c r="E9" s="575" t="s">
        <v>1497</v>
      </c>
      <c r="F9" s="576" t="s">
        <v>1498</v>
      </c>
      <c r="G9" s="314">
        <v>40703</v>
      </c>
    </row>
    <row r="10" spans="1:7" ht="19.5" customHeight="1">
      <c r="A10" s="114">
        <v>6</v>
      </c>
      <c r="B10" s="93"/>
      <c r="C10" s="170"/>
      <c r="D10" s="203"/>
      <c r="E10" s="271" t="s">
        <v>1662</v>
      </c>
      <c r="F10" s="172" t="s">
        <v>1663</v>
      </c>
      <c r="G10" s="82">
        <v>40530</v>
      </c>
    </row>
    <row r="11" spans="1:7" ht="19.5" customHeight="1">
      <c r="A11" s="114">
        <v>7</v>
      </c>
      <c r="B11" s="93"/>
      <c r="C11" s="170"/>
      <c r="D11" s="171"/>
      <c r="E11" s="271" t="s">
        <v>1453</v>
      </c>
      <c r="F11" s="172" t="s">
        <v>1454</v>
      </c>
      <c r="G11" s="82">
        <v>40686</v>
      </c>
    </row>
    <row r="12" spans="1:7" ht="19.5" customHeight="1">
      <c r="A12" s="115">
        <v>8</v>
      </c>
      <c r="B12" s="93"/>
      <c r="C12" s="170"/>
      <c r="D12" s="171"/>
      <c r="E12" s="271" t="s">
        <v>1447</v>
      </c>
      <c r="F12" s="172" t="s">
        <v>1448</v>
      </c>
      <c r="G12" s="82">
        <v>40916</v>
      </c>
    </row>
    <row r="13" spans="1:7" ht="19.5" customHeight="1">
      <c r="A13" s="114">
        <v>9</v>
      </c>
      <c r="B13" s="93"/>
      <c r="C13" s="170"/>
      <c r="D13" s="203"/>
      <c r="E13" s="271" t="s">
        <v>1503</v>
      </c>
      <c r="F13" s="172" t="s">
        <v>1504</v>
      </c>
      <c r="G13" s="82">
        <v>40983</v>
      </c>
    </row>
    <row r="14" spans="1:7" ht="19.5" customHeight="1">
      <c r="A14" s="114">
        <v>10</v>
      </c>
      <c r="B14" s="93"/>
      <c r="C14" s="170"/>
      <c r="D14" s="203"/>
      <c r="E14" s="271" t="s">
        <v>1439</v>
      </c>
      <c r="F14" s="82" t="s">
        <v>1440</v>
      </c>
      <c r="G14" s="82">
        <v>40917</v>
      </c>
    </row>
    <row r="15" spans="1:7" ht="19.5" customHeight="1">
      <c r="A15" s="115">
        <v>11</v>
      </c>
      <c r="B15" s="93"/>
      <c r="C15" s="170"/>
      <c r="D15" s="204"/>
      <c r="E15" s="272" t="s">
        <v>1505</v>
      </c>
      <c r="F15" s="179" t="s">
        <v>1506</v>
      </c>
      <c r="G15" s="82">
        <v>40995</v>
      </c>
    </row>
    <row r="16" spans="1:7" ht="19.5" customHeight="1">
      <c r="A16" s="114">
        <v>12</v>
      </c>
      <c r="B16" s="93"/>
      <c r="C16" s="170"/>
      <c r="D16" s="203"/>
      <c r="E16" s="269" t="s">
        <v>1493</v>
      </c>
      <c r="F16" s="185" t="s">
        <v>1494</v>
      </c>
      <c r="G16" s="275">
        <v>40881</v>
      </c>
    </row>
    <row r="17" spans="1:7" ht="19.5" customHeight="1">
      <c r="A17" s="114">
        <v>13</v>
      </c>
      <c r="B17" s="93"/>
      <c r="C17" s="170"/>
      <c r="D17" s="604" t="s">
        <v>1822</v>
      </c>
      <c r="E17" s="272" t="s">
        <v>1660</v>
      </c>
      <c r="F17" s="179" t="s">
        <v>1661</v>
      </c>
      <c r="G17" s="82">
        <v>40987</v>
      </c>
    </row>
    <row r="18" spans="1:7" ht="19.5" customHeight="1">
      <c r="A18" s="115">
        <v>14</v>
      </c>
      <c r="B18" s="93"/>
      <c r="C18" s="170"/>
      <c r="D18" s="604" t="s">
        <v>1823</v>
      </c>
      <c r="E18" s="271" t="s">
        <v>1658</v>
      </c>
      <c r="F18" s="172" t="s">
        <v>1659</v>
      </c>
      <c r="G18" s="82">
        <v>40727</v>
      </c>
    </row>
    <row r="19" spans="1:7" ht="19.5" customHeight="1">
      <c r="A19" s="114">
        <v>15</v>
      </c>
      <c r="B19" s="93"/>
      <c r="C19" s="170"/>
      <c r="D19" s="203"/>
      <c r="E19" s="272" t="s">
        <v>1443</v>
      </c>
      <c r="F19" s="179" t="s">
        <v>1444</v>
      </c>
      <c r="G19" s="82">
        <v>40931</v>
      </c>
    </row>
    <row r="20" spans="1:7" ht="19.5" customHeight="1">
      <c r="A20" s="114">
        <v>16</v>
      </c>
      <c r="B20" s="93"/>
      <c r="C20" s="170"/>
      <c r="D20" s="203"/>
      <c r="E20" s="272" t="s">
        <v>1802</v>
      </c>
      <c r="F20" s="179" t="s">
        <v>1803</v>
      </c>
      <c r="G20" s="172">
        <v>40986</v>
      </c>
    </row>
    <row r="21" spans="1:7" ht="19.5" customHeight="1">
      <c r="A21" s="115">
        <v>17</v>
      </c>
      <c r="B21" s="93"/>
      <c r="C21" s="170"/>
      <c r="D21" s="604" t="s">
        <v>1822</v>
      </c>
      <c r="E21" s="271" t="s">
        <v>1656</v>
      </c>
      <c r="F21" s="172" t="s">
        <v>1657</v>
      </c>
      <c r="G21" s="82">
        <v>40777</v>
      </c>
    </row>
    <row r="22" spans="1:7" ht="19.5" customHeight="1">
      <c r="A22" s="114">
        <v>18</v>
      </c>
      <c r="B22" s="93"/>
      <c r="C22" s="170"/>
      <c r="D22" s="604" t="s">
        <v>1823</v>
      </c>
      <c r="E22" s="269" t="s">
        <v>1654</v>
      </c>
      <c r="F22" s="185" t="s">
        <v>1655</v>
      </c>
      <c r="G22" s="275">
        <v>40670</v>
      </c>
    </row>
    <row r="23" spans="1:7" ht="19.5" customHeight="1">
      <c r="A23" s="114">
        <v>19</v>
      </c>
      <c r="B23" s="93"/>
      <c r="C23" s="170"/>
      <c r="D23" s="171"/>
      <c r="E23" s="271" t="s">
        <v>1717</v>
      </c>
      <c r="F23" s="172" t="s">
        <v>1424</v>
      </c>
      <c r="G23" s="172">
        <v>40882</v>
      </c>
    </row>
    <row r="24" spans="1:7" ht="19.5" customHeight="1">
      <c r="A24" s="115">
        <v>20</v>
      </c>
      <c r="B24" s="93"/>
      <c r="C24" s="170"/>
      <c r="D24" s="203"/>
      <c r="E24" s="272" t="s">
        <v>1430</v>
      </c>
      <c r="F24" s="179" t="s">
        <v>1431</v>
      </c>
      <c r="G24" s="172">
        <v>40899</v>
      </c>
    </row>
    <row r="25" spans="1:7" ht="19.5" customHeight="1">
      <c r="A25" s="114">
        <v>21</v>
      </c>
      <c r="B25" s="93"/>
      <c r="C25" s="170"/>
      <c r="D25" s="664" t="s">
        <v>1822</v>
      </c>
      <c r="E25" s="269" t="s">
        <v>1641</v>
      </c>
      <c r="F25" s="185" t="s">
        <v>1642</v>
      </c>
      <c r="G25" s="275">
        <v>40654</v>
      </c>
    </row>
    <row r="26" spans="1:7" ht="19.5" customHeight="1">
      <c r="A26" s="114">
        <v>22</v>
      </c>
      <c r="B26" s="93"/>
      <c r="C26" s="170"/>
      <c r="D26" s="171"/>
      <c r="E26" s="271" t="s">
        <v>1445</v>
      </c>
      <c r="F26" s="82" t="s">
        <v>1446</v>
      </c>
      <c r="G26" s="82">
        <v>40992</v>
      </c>
    </row>
    <row r="27" spans="1:7" ht="19.5" customHeight="1">
      <c r="A27" s="115">
        <v>23</v>
      </c>
      <c r="B27" s="93"/>
      <c r="C27" s="170"/>
      <c r="D27" s="171"/>
      <c r="E27" s="271" t="s">
        <v>1432</v>
      </c>
      <c r="F27" s="172" t="s">
        <v>1433</v>
      </c>
      <c r="G27" s="82" t="s">
        <v>1434</v>
      </c>
    </row>
    <row r="28" spans="1:7" ht="19.5" customHeight="1">
      <c r="A28" s="114">
        <v>24</v>
      </c>
      <c r="B28" s="93"/>
      <c r="C28" s="170"/>
      <c r="D28" s="203"/>
      <c r="E28" s="272" t="s">
        <v>1652</v>
      </c>
      <c r="F28" s="179" t="s">
        <v>1653</v>
      </c>
      <c r="G28" s="82">
        <v>40865</v>
      </c>
    </row>
    <row r="29" spans="1:7" ht="19.5" customHeight="1">
      <c r="A29" s="114">
        <v>25</v>
      </c>
      <c r="B29" s="93"/>
      <c r="C29" s="170"/>
      <c r="D29" s="171"/>
      <c r="E29" s="272" t="s">
        <v>1650</v>
      </c>
      <c r="F29" s="179" t="s">
        <v>1651</v>
      </c>
      <c r="G29" s="82">
        <v>41076</v>
      </c>
    </row>
    <row r="30" spans="1:7" ht="19.5" customHeight="1">
      <c r="A30" s="115">
        <v>26</v>
      </c>
      <c r="B30" s="93"/>
      <c r="C30" s="170"/>
      <c r="D30" s="171"/>
      <c r="E30" s="485" t="s">
        <v>1800</v>
      </c>
      <c r="F30" s="82" t="s">
        <v>1801</v>
      </c>
      <c r="G30" s="82">
        <v>40649</v>
      </c>
    </row>
    <row r="31" spans="1:7" ht="19.5" customHeight="1">
      <c r="A31" s="114">
        <v>27</v>
      </c>
      <c r="B31" s="93"/>
      <c r="C31" s="170"/>
      <c r="D31" s="171"/>
      <c r="E31" s="271" t="s">
        <v>1491</v>
      </c>
      <c r="F31" s="172" t="s">
        <v>1492</v>
      </c>
      <c r="G31" s="313">
        <v>40810</v>
      </c>
    </row>
    <row r="32" spans="1:7" ht="19.5" customHeight="1">
      <c r="A32" s="114">
        <v>28</v>
      </c>
      <c r="B32" s="93"/>
      <c r="C32" s="170"/>
      <c r="D32" s="171"/>
      <c r="E32" s="272" t="s">
        <v>1513</v>
      </c>
      <c r="F32" s="179" t="s">
        <v>1514</v>
      </c>
      <c r="G32" s="82">
        <v>40967</v>
      </c>
    </row>
    <row r="33" spans="1:8" ht="19.5" customHeight="1">
      <c r="A33" s="115">
        <v>29</v>
      </c>
      <c r="B33" s="93"/>
      <c r="C33" s="170"/>
      <c r="D33" s="203"/>
      <c r="E33" s="272" t="s">
        <v>1449</v>
      </c>
      <c r="F33" s="179" t="s">
        <v>1450</v>
      </c>
      <c r="G33" s="82">
        <v>41037</v>
      </c>
      <c r="H33" s="8"/>
    </row>
    <row r="34" spans="1:8" ht="19.5" customHeight="1">
      <c r="A34" s="114">
        <v>30</v>
      </c>
      <c r="B34" s="93"/>
      <c r="C34" s="170"/>
      <c r="D34" s="171"/>
      <c r="E34" s="271" t="s">
        <v>1776</v>
      </c>
      <c r="F34" s="172" t="s">
        <v>1777</v>
      </c>
      <c r="G34" s="82">
        <v>40994</v>
      </c>
      <c r="H34" s="8"/>
    </row>
    <row r="35" spans="1:8" ht="19.5" customHeight="1">
      <c r="A35" s="114">
        <v>31</v>
      </c>
      <c r="B35" s="93"/>
      <c r="C35" s="170"/>
      <c r="D35" s="616" t="s">
        <v>1876</v>
      </c>
      <c r="E35" s="269" t="s">
        <v>1778</v>
      </c>
      <c r="F35" s="185" t="s">
        <v>1779</v>
      </c>
      <c r="G35" s="275">
        <v>41008</v>
      </c>
      <c r="H35" s="8"/>
    </row>
    <row r="36" spans="1:8" ht="19.5" customHeight="1">
      <c r="A36" s="115">
        <v>32</v>
      </c>
      <c r="B36" s="93"/>
      <c r="C36" s="170"/>
      <c r="D36" s="203"/>
      <c r="E36" s="663" t="s">
        <v>1851</v>
      </c>
      <c r="F36" s="273" t="s">
        <v>1213</v>
      </c>
      <c r="G36" s="82">
        <v>40686</v>
      </c>
      <c r="H36" s="8"/>
    </row>
    <row r="37" spans="1:8" ht="19.5" customHeight="1">
      <c r="A37" s="114">
        <v>33</v>
      </c>
      <c r="B37" s="93"/>
      <c r="C37" s="170"/>
      <c r="D37" s="171"/>
      <c r="E37" s="269" t="s">
        <v>1780</v>
      </c>
      <c r="F37" s="274" t="s">
        <v>1781</v>
      </c>
      <c r="G37" s="275">
        <v>40967</v>
      </c>
      <c r="H37" s="8"/>
    </row>
    <row r="38" spans="1:8" ht="19.5" customHeight="1">
      <c r="A38" s="114">
        <v>34</v>
      </c>
      <c r="B38" s="93"/>
      <c r="C38" s="205"/>
      <c r="D38" s="587"/>
      <c r="E38" s="272" t="s">
        <v>1782</v>
      </c>
      <c r="F38" s="179" t="s">
        <v>1783</v>
      </c>
      <c r="G38" s="172">
        <v>40912</v>
      </c>
      <c r="H38" s="8"/>
    </row>
    <row r="39" spans="1:8" ht="19.5" customHeight="1">
      <c r="A39" s="115">
        <v>35</v>
      </c>
      <c r="B39" s="93"/>
      <c r="C39" s="207"/>
      <c r="D39" s="171"/>
      <c r="E39" s="536" t="s">
        <v>1451</v>
      </c>
      <c r="F39" s="650" t="s">
        <v>1452</v>
      </c>
      <c r="G39" s="150">
        <v>40729</v>
      </c>
      <c r="H39" s="8"/>
    </row>
    <row r="40" spans="1:8" ht="19.5" customHeight="1">
      <c r="A40" s="114">
        <v>36</v>
      </c>
      <c r="B40" s="93"/>
      <c r="C40" s="207"/>
      <c r="D40" s="171"/>
      <c r="E40" s="269" t="s">
        <v>1441</v>
      </c>
      <c r="F40" s="274" t="s">
        <v>1442</v>
      </c>
      <c r="G40" s="275">
        <v>40981</v>
      </c>
      <c r="H40" s="8"/>
    </row>
    <row r="41" spans="1:8" ht="19.5" customHeight="1">
      <c r="A41" s="114">
        <v>37</v>
      </c>
      <c r="B41" s="93"/>
      <c r="C41" s="207"/>
      <c r="D41" s="171"/>
      <c r="E41" s="271" t="s">
        <v>1501</v>
      </c>
      <c r="F41" s="172" t="s">
        <v>1502</v>
      </c>
      <c r="G41" s="82">
        <v>40668</v>
      </c>
      <c r="H41" s="8"/>
    </row>
    <row r="42" spans="1:8" ht="19.5" customHeight="1">
      <c r="A42" s="115">
        <v>38</v>
      </c>
      <c r="B42" s="93"/>
      <c r="C42" s="208"/>
      <c r="D42" s="171"/>
      <c r="E42" s="272" t="s">
        <v>1507</v>
      </c>
      <c r="F42" s="179" t="s">
        <v>1508</v>
      </c>
      <c r="G42" s="172">
        <v>40813</v>
      </c>
      <c r="H42" s="8"/>
    </row>
    <row r="43" spans="1:8" ht="19.5" customHeight="1">
      <c r="A43" s="114">
        <v>39</v>
      </c>
      <c r="B43" s="93"/>
      <c r="C43" s="208"/>
      <c r="D43" s="171"/>
      <c r="E43" s="243" t="s">
        <v>1784</v>
      </c>
      <c r="F43" s="191" t="s">
        <v>1785</v>
      </c>
      <c r="G43" s="192">
        <v>40781</v>
      </c>
      <c r="H43" s="8"/>
    </row>
    <row r="44" spans="1:8" ht="19.5" customHeight="1">
      <c r="A44" s="114">
        <v>40</v>
      </c>
      <c r="B44" s="93"/>
      <c r="C44" s="208"/>
      <c r="D44" s="171"/>
      <c r="E44" s="243" t="s">
        <v>1489</v>
      </c>
      <c r="F44" s="191" t="s">
        <v>1490</v>
      </c>
      <c r="G44" s="96">
        <v>40878</v>
      </c>
      <c r="H44" s="8"/>
    </row>
    <row r="45" spans="1:8" ht="19.5" customHeight="1">
      <c r="A45" s="115">
        <v>41</v>
      </c>
      <c r="B45" s="93"/>
      <c r="C45" s="208"/>
      <c r="D45" s="171"/>
      <c r="E45" s="542" t="s">
        <v>1648</v>
      </c>
      <c r="F45" s="192" t="s">
        <v>1649</v>
      </c>
      <c r="G45" s="96">
        <v>40402</v>
      </c>
      <c r="H45" s="8"/>
    </row>
    <row r="46" spans="1:8" ht="19.5" customHeight="1">
      <c r="A46" s="114">
        <v>42</v>
      </c>
      <c r="B46" s="93"/>
      <c r="C46" s="208"/>
      <c r="D46" s="171"/>
      <c r="E46" s="243" t="s">
        <v>1646</v>
      </c>
      <c r="F46" s="191" t="s">
        <v>1647</v>
      </c>
      <c r="G46" s="96">
        <v>41025</v>
      </c>
      <c r="H46" s="8"/>
    </row>
    <row r="47" spans="1:8" ht="19.5" customHeight="1">
      <c r="A47" s="114">
        <v>43</v>
      </c>
      <c r="B47" s="93"/>
      <c r="C47" s="207"/>
      <c r="D47" s="171"/>
      <c r="E47" s="588" t="s">
        <v>1700</v>
      </c>
      <c r="F47" s="589" t="s">
        <v>1701</v>
      </c>
      <c r="G47" s="242">
        <v>41074</v>
      </c>
      <c r="H47" s="8"/>
    </row>
    <row r="48" spans="1:8" ht="19.5" customHeight="1">
      <c r="A48" s="114">
        <v>44</v>
      </c>
      <c r="B48" s="93"/>
      <c r="C48" s="209"/>
      <c r="D48" s="210"/>
      <c r="E48" s="400" t="s">
        <v>1788</v>
      </c>
      <c r="F48" s="244" t="s">
        <v>1789</v>
      </c>
      <c r="G48" s="96">
        <v>40843</v>
      </c>
      <c r="H48" s="8"/>
    </row>
    <row r="49" spans="1:8" ht="19.5" customHeight="1" thickBot="1">
      <c r="A49" s="307">
        <v>45</v>
      </c>
      <c r="B49" s="234"/>
      <c r="C49" s="323"/>
      <c r="D49" s="324"/>
      <c r="E49" s="670" t="s">
        <v>1435</v>
      </c>
      <c r="F49" s="671" t="s">
        <v>1436</v>
      </c>
      <c r="G49" s="315">
        <v>40976</v>
      </c>
      <c r="H49" s="8"/>
    </row>
    <row r="50" spans="1:8" ht="19.5" customHeight="1" thickBot="1">
      <c r="A50" s="114">
        <v>46</v>
      </c>
      <c r="B50" s="167"/>
      <c r="C50" s="665"/>
      <c r="D50" s="666"/>
      <c r="E50" s="667" t="s">
        <v>1794</v>
      </c>
      <c r="F50" s="668" t="s">
        <v>1795</v>
      </c>
      <c r="G50" s="669">
        <v>40669</v>
      </c>
      <c r="H50" s="8"/>
    </row>
    <row r="51" spans="1:8" ht="19.5" customHeight="1" thickBot="1">
      <c r="A51" s="110" t="s">
        <v>10</v>
      </c>
      <c r="B51" s="166"/>
      <c r="C51" s="111"/>
      <c r="D51" s="706" t="s">
        <v>1882</v>
      </c>
      <c r="E51" s="675"/>
      <c r="F51" s="676" t="s">
        <v>11</v>
      </c>
      <c r="G51" s="677"/>
    </row>
    <row r="52" spans="1:8" ht="19.5" customHeight="1">
      <c r="A52" s="707"/>
      <c r="B52" s="708"/>
      <c r="C52" s="708"/>
      <c r="D52" s="708"/>
      <c r="E52" s="708"/>
      <c r="F52" s="708"/>
      <c r="G52" s="709"/>
    </row>
    <row r="53" spans="1:8" ht="19.5" customHeight="1" thickBot="1">
      <c r="A53" s="710"/>
      <c r="B53" s="711"/>
      <c r="C53" s="711"/>
      <c r="D53" s="711"/>
      <c r="E53" s="711"/>
      <c r="F53" s="711"/>
      <c r="G53" s="697"/>
    </row>
  </sheetData>
  <sortState xmlns:xlrd2="http://schemas.microsoft.com/office/spreadsheetml/2017/richdata2" ref="E6:G50">
    <sortCondition ref="E5:E50"/>
  </sortState>
  <mergeCells count="11">
    <mergeCell ref="F3:F4"/>
    <mergeCell ref="D51:E51"/>
    <mergeCell ref="F51:G51"/>
    <mergeCell ref="A52:G53"/>
    <mergeCell ref="A1:D1"/>
    <mergeCell ref="E1:G1"/>
    <mergeCell ref="A2:G2"/>
    <mergeCell ref="A3:A4"/>
    <mergeCell ref="B3:B4"/>
    <mergeCell ref="C3:D3"/>
    <mergeCell ref="G3:G4"/>
  </mergeCells>
  <phoneticPr fontId="16" type="noConversion"/>
  <conditionalFormatting sqref="E7:E15">
    <cfRule type="cellIs" dxfId="57" priority="4" stopIfTrue="1" operator="between">
      <formula>1</formula>
      <formula>3.9</formula>
    </cfRule>
  </conditionalFormatting>
  <conditionalFormatting sqref="E17:E21 E23:E24 E26:E34 E36 E38">
    <cfRule type="cellIs" dxfId="56" priority="5" stopIfTrue="1" operator="between">
      <formula>1</formula>
      <formula>3.9</formula>
    </cfRule>
  </conditionalFormatting>
  <conditionalFormatting sqref="E44:E47">
    <cfRule type="cellIs" dxfId="55" priority="2" stopIfTrue="1" operator="between">
      <formula>1</formula>
      <formula>3.9</formula>
    </cfRule>
  </conditionalFormatting>
  <pageMargins left="0.7" right="0.7" top="0.75" bottom="0.75" header="0.3" footer="0.3"/>
  <pageSetup paperSize="5" scale="72" orientation="portrait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2"/>
  <sheetViews>
    <sheetView showGridLines="0" topLeftCell="A36" zoomScaleNormal="100" workbookViewId="0">
      <selection activeCell="F13" sqref="F13"/>
    </sheetView>
  </sheetViews>
  <sheetFormatPr baseColWidth="10" defaultColWidth="12.5703125" defaultRowHeight="15" customHeight="1"/>
  <cols>
    <col min="1" max="2" width="5.7109375" customWidth="1"/>
    <col min="3" max="3" width="10.7109375" customWidth="1"/>
    <col min="4" max="4" width="14.28515625" customWidth="1"/>
    <col min="5" max="5" width="61.140625" customWidth="1"/>
    <col min="6" max="7" width="14.7109375" customWidth="1"/>
    <col min="8" max="8" width="7.28515625" customWidth="1"/>
    <col min="9" max="13" width="11.42578125" customWidth="1"/>
    <col min="14" max="26" width="10.5703125" customWidth="1"/>
  </cols>
  <sheetData>
    <row r="1" spans="1:13" ht="72.75" customHeight="1">
      <c r="A1" s="684"/>
      <c r="B1" s="685"/>
      <c r="C1" s="685"/>
      <c r="D1" s="685"/>
      <c r="E1" s="686" t="s">
        <v>0</v>
      </c>
      <c r="F1" s="685"/>
      <c r="G1" s="687"/>
      <c r="H1" s="1"/>
      <c r="I1" s="2"/>
      <c r="J1" s="2"/>
      <c r="K1" s="2"/>
      <c r="L1" s="2"/>
      <c r="M1" s="2"/>
    </row>
    <row r="2" spans="1:13" ht="19.5" customHeight="1">
      <c r="A2" s="688" t="s">
        <v>1</v>
      </c>
      <c r="B2" s="700"/>
      <c r="C2" s="700"/>
      <c r="D2" s="700"/>
      <c r="E2" s="700"/>
      <c r="F2" s="700"/>
      <c r="G2" s="701"/>
      <c r="I2" s="3"/>
      <c r="J2" s="3"/>
      <c r="K2" s="3"/>
      <c r="L2" s="3"/>
      <c r="M2" s="3" t="s">
        <v>12</v>
      </c>
    </row>
    <row r="3" spans="1:13" ht="19.5" customHeight="1">
      <c r="A3" s="691" t="s">
        <v>2</v>
      </c>
      <c r="B3" s="691" t="s">
        <v>3</v>
      </c>
      <c r="C3" s="713" t="s">
        <v>4</v>
      </c>
      <c r="D3" s="714"/>
      <c r="E3" s="4" t="s">
        <v>1375</v>
      </c>
      <c r="F3" s="691" t="s">
        <v>5</v>
      </c>
      <c r="G3" s="691" t="s">
        <v>6</v>
      </c>
      <c r="H3" s="16"/>
      <c r="I3" s="17"/>
      <c r="J3" s="17"/>
      <c r="K3" s="17"/>
      <c r="L3" s="17"/>
      <c r="M3" s="17"/>
    </row>
    <row r="4" spans="1:13" ht="19.5" customHeight="1" thickBot="1">
      <c r="A4" s="712"/>
      <c r="B4" s="712"/>
      <c r="C4" s="5" t="s">
        <v>7</v>
      </c>
      <c r="D4" s="5" t="s">
        <v>8</v>
      </c>
      <c r="E4" s="281" t="s">
        <v>9</v>
      </c>
      <c r="F4" s="673"/>
      <c r="G4" s="673"/>
      <c r="H4" s="18"/>
      <c r="I4" s="17"/>
      <c r="J4" s="17"/>
      <c r="K4" s="17"/>
      <c r="L4" s="17"/>
      <c r="M4" s="17"/>
    </row>
    <row r="5" spans="1:13" ht="19.5" customHeight="1">
      <c r="A5" s="10">
        <v>1</v>
      </c>
      <c r="B5" s="211"/>
      <c r="C5" s="212"/>
      <c r="D5" s="609" t="s">
        <v>1823</v>
      </c>
      <c r="E5" s="557" t="s">
        <v>1736</v>
      </c>
      <c r="F5" s="558" t="s">
        <v>1715</v>
      </c>
      <c r="G5" s="556">
        <v>41287</v>
      </c>
      <c r="H5" s="8"/>
      <c r="I5" s="13"/>
      <c r="J5" s="13"/>
      <c r="K5" s="13"/>
      <c r="L5" s="13"/>
      <c r="M5" s="13"/>
    </row>
    <row r="6" spans="1:13" ht="19.5" customHeight="1">
      <c r="A6" s="10">
        <v>2</v>
      </c>
      <c r="B6" s="211"/>
      <c r="C6" s="212"/>
      <c r="D6" s="276"/>
      <c r="E6" s="291" t="s">
        <v>1571</v>
      </c>
      <c r="F6" s="179" t="s">
        <v>1572</v>
      </c>
      <c r="G6" s="172">
        <v>40891</v>
      </c>
      <c r="H6" s="8"/>
      <c r="I6" s="9"/>
      <c r="J6" s="14"/>
      <c r="K6" s="14"/>
      <c r="L6" s="14"/>
      <c r="M6" s="14"/>
    </row>
    <row r="7" spans="1:13" ht="19.5" customHeight="1">
      <c r="A7" s="10">
        <v>3</v>
      </c>
      <c r="B7" s="211"/>
      <c r="C7" s="212"/>
      <c r="D7" s="276"/>
      <c r="E7" s="282" t="s">
        <v>1673</v>
      </c>
      <c r="F7" s="82" t="s">
        <v>1674</v>
      </c>
      <c r="G7" s="82">
        <v>40868</v>
      </c>
      <c r="H7" s="8"/>
      <c r="I7" s="14"/>
      <c r="J7" s="14"/>
      <c r="K7" s="14"/>
      <c r="L7" s="14"/>
      <c r="M7" s="14"/>
    </row>
    <row r="8" spans="1:13" ht="19.5" customHeight="1">
      <c r="A8" s="10">
        <v>4</v>
      </c>
      <c r="B8" s="211"/>
      <c r="C8" s="212"/>
      <c r="D8" s="276"/>
      <c r="E8" s="282" t="s">
        <v>1561</v>
      </c>
      <c r="F8" s="172" t="s">
        <v>1562</v>
      </c>
      <c r="G8" s="172">
        <v>41000</v>
      </c>
      <c r="H8" s="8"/>
      <c r="I8" s="9" t="s">
        <v>12</v>
      </c>
      <c r="J8" s="14"/>
      <c r="K8" s="14"/>
      <c r="L8" s="14"/>
      <c r="M8" s="14"/>
    </row>
    <row r="9" spans="1:13" ht="19.5" customHeight="1">
      <c r="A9" s="10">
        <v>5</v>
      </c>
      <c r="B9" s="211"/>
      <c r="C9" s="212"/>
      <c r="D9" s="276"/>
      <c r="E9" s="290" t="s">
        <v>1557</v>
      </c>
      <c r="F9" s="274" t="s">
        <v>1558</v>
      </c>
      <c r="G9" s="275">
        <v>40896</v>
      </c>
      <c r="H9" s="8"/>
      <c r="I9" s="9"/>
      <c r="J9" s="14"/>
      <c r="K9" s="14"/>
      <c r="L9" s="14"/>
      <c r="M9" s="14"/>
    </row>
    <row r="10" spans="1:13" ht="19.5" customHeight="1">
      <c r="A10" s="10">
        <v>6</v>
      </c>
      <c r="B10" s="211"/>
      <c r="C10" s="212"/>
      <c r="D10" s="278"/>
      <c r="E10" s="282" t="s">
        <v>1677</v>
      </c>
      <c r="F10" s="82" t="s">
        <v>1678</v>
      </c>
      <c r="G10" s="82">
        <v>40699</v>
      </c>
      <c r="H10" s="8"/>
      <c r="I10" s="14"/>
      <c r="J10" s="14"/>
      <c r="K10" s="14"/>
      <c r="L10" s="14"/>
      <c r="M10" s="14"/>
    </row>
    <row r="11" spans="1:13" ht="19.5" customHeight="1">
      <c r="A11" s="10">
        <v>7</v>
      </c>
      <c r="B11" s="211"/>
      <c r="C11" s="212"/>
      <c r="D11" s="276"/>
      <c r="E11" s="486" t="s">
        <v>1804</v>
      </c>
      <c r="F11" s="360" t="s">
        <v>1805</v>
      </c>
      <c r="G11" s="82">
        <v>40627</v>
      </c>
      <c r="H11" s="8"/>
      <c r="I11" s="14"/>
      <c r="J11" s="14"/>
      <c r="K11" s="14"/>
      <c r="L11" s="14"/>
      <c r="M11" s="14"/>
    </row>
    <row r="12" spans="1:13" ht="19.5" customHeight="1">
      <c r="A12" s="10">
        <v>8</v>
      </c>
      <c r="B12" s="211"/>
      <c r="C12" s="212"/>
      <c r="D12" s="278"/>
      <c r="E12" s="283" t="s">
        <v>1567</v>
      </c>
      <c r="F12" s="178" t="s">
        <v>1568</v>
      </c>
      <c r="G12" s="172">
        <v>40944</v>
      </c>
      <c r="H12" s="8"/>
      <c r="I12" s="14"/>
      <c r="J12" s="14"/>
      <c r="K12" s="14"/>
      <c r="L12" s="14"/>
      <c r="M12" s="14"/>
    </row>
    <row r="13" spans="1:13" ht="19.5" customHeight="1">
      <c r="A13" s="10">
        <v>9</v>
      </c>
      <c r="B13" s="211"/>
      <c r="C13" s="212"/>
      <c r="D13" s="276"/>
      <c r="E13" s="284" t="s">
        <v>1681</v>
      </c>
      <c r="F13" s="178" t="s">
        <v>1682</v>
      </c>
      <c r="G13" s="82">
        <v>40733</v>
      </c>
      <c r="H13" s="8"/>
      <c r="I13" s="14"/>
      <c r="J13" s="14"/>
      <c r="K13" s="14"/>
      <c r="L13" s="14"/>
      <c r="M13" s="14"/>
    </row>
    <row r="14" spans="1:13" ht="19.5" customHeight="1">
      <c r="A14" s="10">
        <v>10</v>
      </c>
      <c r="B14" s="211"/>
      <c r="C14" s="212"/>
      <c r="D14" s="610" t="s">
        <v>1822</v>
      </c>
      <c r="E14" s="490" t="s">
        <v>1697</v>
      </c>
      <c r="F14" s="445" t="s">
        <v>1698</v>
      </c>
      <c r="G14" s="275">
        <v>40840</v>
      </c>
      <c r="H14" s="8"/>
      <c r="I14" s="14"/>
      <c r="J14" s="14"/>
      <c r="K14" s="14"/>
      <c r="L14" s="14"/>
      <c r="M14" s="14"/>
    </row>
    <row r="15" spans="1:13" ht="19.5" customHeight="1">
      <c r="A15" s="10">
        <v>11</v>
      </c>
      <c r="B15" s="211"/>
      <c r="C15" s="212"/>
      <c r="D15" s="276"/>
      <c r="E15" s="283" t="s">
        <v>1509</v>
      </c>
      <c r="F15" s="178" t="s">
        <v>1510</v>
      </c>
      <c r="G15" s="82">
        <v>40836</v>
      </c>
      <c r="H15" s="8"/>
      <c r="I15" s="14"/>
      <c r="J15" s="14"/>
      <c r="K15" s="14"/>
      <c r="L15" s="14"/>
      <c r="M15" s="14"/>
    </row>
    <row r="16" spans="1:13" ht="19.5" customHeight="1">
      <c r="A16" s="10">
        <v>12</v>
      </c>
      <c r="B16" s="211"/>
      <c r="C16" s="212"/>
      <c r="D16" s="276"/>
      <c r="E16" s="495" t="s">
        <v>1742</v>
      </c>
      <c r="F16" s="82" t="s">
        <v>1743</v>
      </c>
      <c r="G16" s="82">
        <v>40685</v>
      </c>
      <c r="H16" s="8"/>
      <c r="I16" s="14"/>
      <c r="J16" s="14"/>
      <c r="K16" s="14"/>
      <c r="L16" s="14"/>
      <c r="M16" s="14"/>
    </row>
    <row r="17" spans="1:8" ht="19.5" customHeight="1">
      <c r="A17" s="10">
        <v>13</v>
      </c>
      <c r="B17" s="211"/>
      <c r="C17" s="212"/>
      <c r="D17" s="285"/>
      <c r="E17" s="291" t="s">
        <v>1554</v>
      </c>
      <c r="F17" s="273" t="s">
        <v>1807</v>
      </c>
      <c r="G17" s="82">
        <v>40788</v>
      </c>
      <c r="H17" s="8"/>
    </row>
    <row r="18" spans="1:8" ht="19.5" customHeight="1">
      <c r="A18" s="10">
        <v>14</v>
      </c>
      <c r="B18" s="211"/>
      <c r="C18" s="212"/>
      <c r="D18" s="610" t="s">
        <v>1822</v>
      </c>
      <c r="E18" s="486" t="s">
        <v>1695</v>
      </c>
      <c r="F18" s="360" t="s">
        <v>1696</v>
      </c>
      <c r="G18" s="82">
        <v>40972</v>
      </c>
      <c r="H18" s="8"/>
    </row>
    <row r="19" spans="1:8" ht="19.5" customHeight="1">
      <c r="A19" s="10">
        <v>15</v>
      </c>
      <c r="B19" s="211"/>
      <c r="C19" s="212"/>
      <c r="D19" s="276"/>
      <c r="E19" s="283" t="s">
        <v>1575</v>
      </c>
      <c r="F19" s="178" t="s">
        <v>1576</v>
      </c>
      <c r="G19" s="172">
        <v>40712</v>
      </c>
      <c r="H19" s="8"/>
    </row>
    <row r="20" spans="1:8" ht="19.5" customHeight="1">
      <c r="A20" s="10">
        <v>16</v>
      </c>
      <c r="B20" s="211"/>
      <c r="C20" s="212"/>
      <c r="D20" s="278"/>
      <c r="E20" s="283" t="s">
        <v>1719</v>
      </c>
      <c r="F20" s="178" t="s">
        <v>1720</v>
      </c>
      <c r="G20" s="172">
        <v>40648</v>
      </c>
      <c r="H20" s="8"/>
    </row>
    <row r="21" spans="1:8" ht="19.5" customHeight="1">
      <c r="A21" s="10">
        <v>17</v>
      </c>
      <c r="B21" s="211"/>
      <c r="C21" s="212"/>
      <c r="D21" s="276"/>
      <c r="E21" s="283" t="s">
        <v>1713</v>
      </c>
      <c r="F21" s="178" t="s">
        <v>1714</v>
      </c>
      <c r="G21" s="82">
        <v>40692</v>
      </c>
      <c r="H21" s="8"/>
    </row>
    <row r="22" spans="1:8" ht="19.5" customHeight="1">
      <c r="A22" s="10">
        <v>18</v>
      </c>
      <c r="B22" s="211"/>
      <c r="C22" s="212"/>
      <c r="D22" s="276"/>
      <c r="E22" s="488" t="s">
        <v>1848</v>
      </c>
      <c r="F22" s="182" t="s">
        <v>1849</v>
      </c>
      <c r="G22" s="118">
        <v>40817</v>
      </c>
      <c r="H22" s="8"/>
    </row>
    <row r="23" spans="1:8" ht="19.5" customHeight="1">
      <c r="A23" s="10">
        <v>19</v>
      </c>
      <c r="B23" s="211"/>
      <c r="C23" s="212"/>
      <c r="D23" s="276"/>
      <c r="E23" s="290" t="s">
        <v>1711</v>
      </c>
      <c r="F23" s="274" t="s">
        <v>1712</v>
      </c>
      <c r="G23" s="275">
        <v>40659</v>
      </c>
      <c r="H23" s="8"/>
    </row>
    <row r="24" spans="1:8" ht="19.5" customHeight="1">
      <c r="A24" s="10">
        <v>20</v>
      </c>
      <c r="B24" s="211"/>
      <c r="C24" s="212"/>
      <c r="D24" s="276"/>
      <c r="E24" s="486" t="s">
        <v>1845</v>
      </c>
      <c r="F24" s="360" t="s">
        <v>1748</v>
      </c>
      <c r="G24" s="82">
        <v>41000</v>
      </c>
      <c r="H24" s="8"/>
    </row>
    <row r="25" spans="1:8" ht="19.5" customHeight="1">
      <c r="A25" s="10">
        <v>21</v>
      </c>
      <c r="B25" s="211"/>
      <c r="C25" s="212"/>
      <c r="D25" s="276"/>
      <c r="E25" s="282" t="s">
        <v>1709</v>
      </c>
      <c r="F25" s="172" t="s">
        <v>1710</v>
      </c>
      <c r="G25" s="82">
        <v>40961</v>
      </c>
      <c r="H25" s="8"/>
    </row>
    <row r="26" spans="1:8" ht="19.5" customHeight="1">
      <c r="A26" s="10">
        <v>22</v>
      </c>
      <c r="B26" s="211"/>
      <c r="C26" s="212"/>
      <c r="D26" s="278"/>
      <c r="E26" s="282" t="s">
        <v>1499</v>
      </c>
      <c r="F26" s="172" t="s">
        <v>1500</v>
      </c>
      <c r="G26" s="172">
        <v>40498</v>
      </c>
      <c r="H26" s="8"/>
    </row>
    <row r="27" spans="1:8" ht="19.5" customHeight="1">
      <c r="A27" s="10">
        <v>23</v>
      </c>
      <c r="B27" s="211"/>
      <c r="C27" s="212"/>
      <c r="D27" s="276"/>
      <c r="E27" s="263" t="s">
        <v>1573</v>
      </c>
      <c r="F27" s="184" t="s">
        <v>1574</v>
      </c>
      <c r="G27" s="186">
        <v>40725</v>
      </c>
      <c r="H27" s="8"/>
    </row>
    <row r="28" spans="1:8" ht="19.5" customHeight="1">
      <c r="A28" s="10">
        <v>24</v>
      </c>
      <c r="B28" s="211"/>
      <c r="C28" s="212"/>
      <c r="D28" s="611" t="s">
        <v>1822</v>
      </c>
      <c r="E28" s="282" t="s">
        <v>1693</v>
      </c>
      <c r="F28" s="172" t="s">
        <v>1694</v>
      </c>
      <c r="G28" s="82">
        <v>40687</v>
      </c>
      <c r="H28" s="8"/>
    </row>
    <row r="29" spans="1:8" ht="19.5" customHeight="1">
      <c r="A29" s="10">
        <v>25</v>
      </c>
      <c r="B29" s="211"/>
      <c r="C29" s="212"/>
      <c r="D29" s="276"/>
      <c r="E29" s="283" t="s">
        <v>1563</v>
      </c>
      <c r="F29" s="178" t="s">
        <v>1564</v>
      </c>
      <c r="G29" s="172">
        <v>40907</v>
      </c>
      <c r="H29" s="8"/>
    </row>
    <row r="30" spans="1:8" ht="19.5" customHeight="1">
      <c r="A30" s="10">
        <v>26</v>
      </c>
      <c r="B30" s="211"/>
      <c r="C30" s="212"/>
      <c r="D30" s="611" t="s">
        <v>1822</v>
      </c>
      <c r="E30" s="283" t="s">
        <v>1691</v>
      </c>
      <c r="F30" s="178" t="s">
        <v>1692</v>
      </c>
      <c r="G30" s="172">
        <v>40890</v>
      </c>
      <c r="H30" s="8"/>
    </row>
    <row r="31" spans="1:8" ht="19.5" customHeight="1">
      <c r="A31" s="10">
        <v>27</v>
      </c>
      <c r="B31" s="211"/>
      <c r="C31" s="212"/>
      <c r="D31" s="278"/>
      <c r="E31" s="283" t="s">
        <v>1679</v>
      </c>
      <c r="F31" s="178" t="s">
        <v>1680</v>
      </c>
      <c r="G31" s="82">
        <v>40959</v>
      </c>
      <c r="H31" s="8"/>
    </row>
    <row r="32" spans="1:8" ht="19.5" customHeight="1">
      <c r="A32" s="10">
        <v>28</v>
      </c>
      <c r="B32" s="211"/>
      <c r="C32" s="212"/>
      <c r="D32" s="278"/>
      <c r="E32" s="283" t="s">
        <v>1675</v>
      </c>
      <c r="F32" s="178" t="s">
        <v>1676</v>
      </c>
      <c r="G32" s="82">
        <v>41031</v>
      </c>
      <c r="H32" s="8"/>
    </row>
    <row r="33" spans="1:8" ht="19.5" customHeight="1">
      <c r="A33" s="10">
        <v>29</v>
      </c>
      <c r="B33" s="211"/>
      <c r="C33" s="212"/>
      <c r="D33" s="276"/>
      <c r="E33" s="282" t="s">
        <v>1569</v>
      </c>
      <c r="F33" s="172" t="s">
        <v>1570</v>
      </c>
      <c r="G33" s="172">
        <v>40688</v>
      </c>
      <c r="H33" s="8"/>
    </row>
    <row r="34" spans="1:8" ht="19.5" customHeight="1">
      <c r="A34" s="10">
        <v>30</v>
      </c>
      <c r="B34" s="211"/>
      <c r="C34" s="212"/>
      <c r="D34" s="276"/>
      <c r="E34" s="282" t="s">
        <v>1683</v>
      </c>
      <c r="F34" s="172" t="s">
        <v>1684</v>
      </c>
      <c r="G34" s="172">
        <v>40913</v>
      </c>
      <c r="H34" s="8"/>
    </row>
    <row r="35" spans="1:8" ht="19.5" customHeight="1">
      <c r="A35" s="10">
        <v>31</v>
      </c>
      <c r="B35" s="211"/>
      <c r="C35" s="212"/>
      <c r="D35" s="276"/>
      <c r="E35" s="586" t="s">
        <v>1707</v>
      </c>
      <c r="F35" s="184" t="s">
        <v>1708</v>
      </c>
      <c r="G35" s="275">
        <v>40668</v>
      </c>
      <c r="H35" s="8"/>
    </row>
    <row r="36" spans="1:8" ht="19.5" customHeight="1">
      <c r="A36" s="10">
        <v>32</v>
      </c>
      <c r="B36" s="211"/>
      <c r="C36" s="212"/>
      <c r="D36" s="611" t="s">
        <v>1822</v>
      </c>
      <c r="E36" s="283" t="s">
        <v>1689</v>
      </c>
      <c r="F36" s="178" t="s">
        <v>1690</v>
      </c>
      <c r="G36" s="172">
        <v>41025</v>
      </c>
      <c r="H36" s="8"/>
    </row>
    <row r="37" spans="1:8" ht="19.5" customHeight="1">
      <c r="A37" s="10">
        <v>33</v>
      </c>
      <c r="B37" s="211"/>
      <c r="C37" s="212"/>
      <c r="D37" s="278"/>
      <c r="E37" s="283" t="s">
        <v>1559</v>
      </c>
      <c r="F37" s="178" t="s">
        <v>1560</v>
      </c>
      <c r="G37" s="172">
        <v>40746</v>
      </c>
      <c r="H37" s="8"/>
    </row>
    <row r="38" spans="1:8" ht="19.5" customHeight="1">
      <c r="A38" s="10">
        <v>34</v>
      </c>
      <c r="B38" s="211"/>
      <c r="C38" s="212"/>
      <c r="D38" s="610" t="s">
        <v>1823</v>
      </c>
      <c r="E38" s="486" t="s">
        <v>1813</v>
      </c>
      <c r="F38" s="360" t="s">
        <v>1699</v>
      </c>
      <c r="G38" s="82">
        <v>40865</v>
      </c>
      <c r="H38" s="8"/>
    </row>
    <row r="39" spans="1:8" ht="19.5" customHeight="1">
      <c r="A39" s="10">
        <v>35</v>
      </c>
      <c r="B39" s="211"/>
      <c r="C39" s="212"/>
      <c r="D39" s="278"/>
      <c r="E39" s="488" t="s">
        <v>1706</v>
      </c>
      <c r="F39" s="118" t="s">
        <v>1808</v>
      </c>
      <c r="G39" s="118">
        <v>40648</v>
      </c>
      <c r="H39" s="8"/>
    </row>
    <row r="40" spans="1:8" ht="19.5" customHeight="1">
      <c r="A40" s="10">
        <v>36</v>
      </c>
      <c r="B40" s="211"/>
      <c r="C40" s="212"/>
      <c r="D40" s="276"/>
      <c r="E40" s="263" t="s">
        <v>1671</v>
      </c>
      <c r="F40" s="184" t="s">
        <v>1672</v>
      </c>
      <c r="G40" s="275">
        <v>40904</v>
      </c>
      <c r="H40" s="8"/>
    </row>
    <row r="41" spans="1:8" ht="19.5" customHeight="1">
      <c r="A41" s="10">
        <v>37</v>
      </c>
      <c r="B41" s="211"/>
      <c r="C41" s="212"/>
      <c r="D41" s="610" t="s">
        <v>1823</v>
      </c>
      <c r="E41" s="283" t="s">
        <v>1687</v>
      </c>
      <c r="F41" s="178" t="s">
        <v>1688</v>
      </c>
      <c r="G41" s="82">
        <v>40693</v>
      </c>
      <c r="H41" s="8"/>
    </row>
    <row r="42" spans="1:8" ht="19.5" customHeight="1">
      <c r="A42" s="10">
        <v>38</v>
      </c>
      <c r="B42" s="211"/>
      <c r="C42" s="212"/>
      <c r="D42" s="276"/>
      <c r="E42" s="284" t="s">
        <v>1565</v>
      </c>
      <c r="F42" s="181" t="s">
        <v>1566</v>
      </c>
      <c r="G42" s="182">
        <v>40869</v>
      </c>
      <c r="H42" s="8"/>
    </row>
    <row r="43" spans="1:8" ht="19.5" customHeight="1">
      <c r="A43" s="10">
        <v>39</v>
      </c>
      <c r="B43" s="211"/>
      <c r="C43" s="212"/>
      <c r="D43" s="276"/>
      <c r="E43" s="487" t="s">
        <v>1704</v>
      </c>
      <c r="F43" s="444" t="s">
        <v>1705</v>
      </c>
      <c r="G43" s="118">
        <v>40942</v>
      </c>
      <c r="H43" s="8"/>
    </row>
    <row r="44" spans="1:8" ht="19.5" customHeight="1">
      <c r="A44" s="10">
        <v>40</v>
      </c>
      <c r="B44" s="211"/>
      <c r="C44" s="212"/>
      <c r="D44" s="276"/>
      <c r="E44" s="199" t="s">
        <v>1555</v>
      </c>
      <c r="F44" s="192" t="s">
        <v>1556</v>
      </c>
      <c r="G44" s="192">
        <v>44841</v>
      </c>
      <c r="H44" s="8"/>
    </row>
    <row r="45" spans="1:8" ht="19.5" customHeight="1">
      <c r="A45" s="10">
        <v>41</v>
      </c>
      <c r="B45" s="211"/>
      <c r="C45" s="213"/>
      <c r="D45" s="279"/>
      <c r="E45" s="198" t="s">
        <v>1669</v>
      </c>
      <c r="F45" s="195" t="s">
        <v>1670</v>
      </c>
      <c r="G45" s="96">
        <v>40801</v>
      </c>
      <c r="H45" s="8"/>
    </row>
    <row r="46" spans="1:8" ht="19.5" customHeight="1">
      <c r="A46" s="10">
        <v>42</v>
      </c>
      <c r="B46" s="211"/>
      <c r="C46" s="214"/>
      <c r="D46" s="280"/>
      <c r="E46" s="249" t="s">
        <v>1735</v>
      </c>
      <c r="F46" s="250" t="s">
        <v>1577</v>
      </c>
      <c r="G46" s="192">
        <v>40962</v>
      </c>
      <c r="H46" s="8"/>
    </row>
    <row r="47" spans="1:8" ht="19.5" customHeight="1">
      <c r="A47" s="10">
        <v>43</v>
      </c>
      <c r="B47" s="211"/>
      <c r="C47" s="214"/>
      <c r="D47" s="619" t="s">
        <v>1876</v>
      </c>
      <c r="E47" s="249" t="s">
        <v>1226</v>
      </c>
      <c r="F47" s="250" t="s">
        <v>1850</v>
      </c>
      <c r="G47" s="96">
        <v>40373</v>
      </c>
      <c r="H47" s="8"/>
    </row>
    <row r="48" spans="1:8" ht="19.5" customHeight="1">
      <c r="A48" s="303">
        <v>44</v>
      </c>
      <c r="B48" s="211"/>
      <c r="C48" s="215"/>
      <c r="D48" s="585"/>
      <c r="E48" s="282" t="s">
        <v>1685</v>
      </c>
      <c r="F48" s="172" t="s">
        <v>1686</v>
      </c>
      <c r="G48" s="82">
        <v>40871</v>
      </c>
      <c r="H48" s="8"/>
    </row>
    <row r="49" spans="1:8" ht="19.5" customHeight="1" thickBot="1">
      <c r="A49" s="300">
        <v>45</v>
      </c>
      <c r="B49" s="308"/>
      <c r="C49" s="301"/>
      <c r="D49" s="302"/>
      <c r="E49" s="489" t="s">
        <v>1702</v>
      </c>
      <c r="F49" s="491" t="s">
        <v>1703</v>
      </c>
      <c r="G49" s="315">
        <v>40853</v>
      </c>
      <c r="H49" s="8"/>
    </row>
    <row r="50" spans="1:8" ht="19.5" customHeight="1" thickBot="1">
      <c r="A50" s="110" t="s">
        <v>10</v>
      </c>
      <c r="B50" s="228"/>
      <c r="C50" s="111"/>
      <c r="D50" s="706" t="s">
        <v>1883</v>
      </c>
      <c r="E50" s="675"/>
      <c r="F50" s="676" t="s">
        <v>11</v>
      </c>
      <c r="G50" s="677"/>
      <c r="H50" s="19"/>
    </row>
    <row r="51" spans="1:8" ht="19.5" customHeight="1">
      <c r="A51" s="678"/>
      <c r="B51" s="679"/>
      <c r="C51" s="679"/>
      <c r="D51" s="679"/>
      <c r="E51" s="679"/>
      <c r="F51" s="679"/>
      <c r="G51" s="680"/>
      <c r="H51" s="6"/>
    </row>
    <row r="52" spans="1:8" ht="19.5" customHeight="1">
      <c r="A52" s="681"/>
      <c r="B52" s="682"/>
      <c r="C52" s="682"/>
      <c r="D52" s="682"/>
      <c r="E52" s="682"/>
      <c r="F52" s="682"/>
      <c r="G52" s="683"/>
      <c r="H52" s="6"/>
    </row>
  </sheetData>
  <sortState xmlns:xlrd2="http://schemas.microsoft.com/office/spreadsheetml/2017/richdata2" ref="D6:G49">
    <sortCondition ref="E6:E49"/>
  </sortState>
  <mergeCells count="11">
    <mergeCell ref="F3:F4"/>
    <mergeCell ref="D50:E50"/>
    <mergeCell ref="F50:G50"/>
    <mergeCell ref="A51:G52"/>
    <mergeCell ref="A1:D1"/>
    <mergeCell ref="E1:G1"/>
    <mergeCell ref="A2:G2"/>
    <mergeCell ref="A3:A4"/>
    <mergeCell ref="B3:B4"/>
    <mergeCell ref="C3:D3"/>
    <mergeCell ref="G3:G4"/>
  </mergeCells>
  <phoneticPr fontId="16" type="noConversion"/>
  <conditionalFormatting sqref="E6:E8 E10:E12 E15:E21 E24:E26 E28:E34 E36:E38">
    <cfRule type="cellIs" dxfId="54" priority="4" stopIfTrue="1" operator="between">
      <formula>1</formula>
      <formula>3.9</formula>
    </cfRule>
  </conditionalFormatting>
  <conditionalFormatting sqref="E41:E49">
    <cfRule type="cellIs" dxfId="53" priority="1" stopIfTrue="1" operator="between">
      <formula>1</formula>
      <formula>3.9</formula>
    </cfRule>
  </conditionalFormatting>
  <pageMargins left="0.82" right="0.17" top="0.39370078740157483" bottom="0.39370078740157483" header="0" footer="0"/>
  <pageSetup paperSize="5" scale="7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DE81-CD6E-4E14-9738-DBD9E67EC724}">
  <sheetPr>
    <pageSetUpPr fitToPage="1"/>
  </sheetPr>
  <dimension ref="A1:J52"/>
  <sheetViews>
    <sheetView showGridLines="0" topLeftCell="A39" zoomScaleNormal="100" workbookViewId="0">
      <selection activeCell="J48" sqref="J48"/>
    </sheetView>
  </sheetViews>
  <sheetFormatPr baseColWidth="10" defaultColWidth="12.5703125" defaultRowHeight="15" customHeight="1"/>
  <cols>
    <col min="1" max="2" width="5.7109375" customWidth="1"/>
    <col min="3" max="3" width="10.7109375" customWidth="1"/>
    <col min="4" max="4" width="14.28515625" customWidth="1"/>
    <col min="5" max="5" width="61.5703125" customWidth="1"/>
    <col min="6" max="7" width="14.7109375" customWidth="1"/>
    <col min="8" max="8" width="7.28515625" customWidth="1"/>
    <col min="9" max="11" width="11.42578125" customWidth="1"/>
    <col min="12" max="26" width="10.5703125" customWidth="1"/>
  </cols>
  <sheetData>
    <row r="1" spans="1:9" ht="72.75" customHeight="1" thickBot="1">
      <c r="A1" s="684"/>
      <c r="B1" s="685"/>
      <c r="C1" s="685"/>
      <c r="D1" s="685"/>
      <c r="E1" s="686" t="s">
        <v>0</v>
      </c>
      <c r="F1" s="685"/>
      <c r="G1" s="687"/>
    </row>
    <row r="2" spans="1:9" ht="19.5" customHeight="1" thickBot="1">
      <c r="A2" s="688" t="s">
        <v>1</v>
      </c>
      <c r="B2" s="716"/>
      <c r="C2" s="716"/>
      <c r="D2" s="716"/>
      <c r="E2" s="716"/>
      <c r="F2" s="716"/>
      <c r="G2" s="717"/>
    </row>
    <row r="3" spans="1:9" ht="19.5" customHeight="1" thickBot="1">
      <c r="A3" s="691" t="s">
        <v>2</v>
      </c>
      <c r="B3" s="692" t="s">
        <v>3</v>
      </c>
      <c r="C3" s="693" t="s">
        <v>4</v>
      </c>
      <c r="D3" s="675"/>
      <c r="E3" s="107" t="s">
        <v>1362</v>
      </c>
      <c r="F3" s="672" t="s">
        <v>5</v>
      </c>
      <c r="G3" s="691" t="s">
        <v>6</v>
      </c>
    </row>
    <row r="4" spans="1:9" ht="19.5" customHeight="1" thickBot="1">
      <c r="A4" s="712"/>
      <c r="B4" s="673"/>
      <c r="C4" s="119" t="s">
        <v>7</v>
      </c>
      <c r="D4" s="119" t="s">
        <v>8</v>
      </c>
      <c r="E4" s="119" t="s">
        <v>9</v>
      </c>
      <c r="F4" s="712"/>
      <c r="G4" s="673"/>
    </row>
    <row r="5" spans="1:9" ht="19.5" customHeight="1">
      <c r="A5" s="115">
        <v>1</v>
      </c>
      <c r="B5" s="91"/>
      <c r="C5" s="88"/>
      <c r="D5" s="12"/>
      <c r="E5" s="240" t="s">
        <v>904</v>
      </c>
      <c r="F5" s="241" t="s">
        <v>905</v>
      </c>
      <c r="G5" s="123">
        <v>40554</v>
      </c>
      <c r="I5" s="237"/>
    </row>
    <row r="6" spans="1:9" ht="19.5" customHeight="1">
      <c r="A6" s="115">
        <v>2</v>
      </c>
      <c r="B6" s="93"/>
      <c r="C6" s="88"/>
      <c r="D6" s="12"/>
      <c r="E6" s="588" t="s">
        <v>906</v>
      </c>
      <c r="F6" s="589" t="s">
        <v>907</v>
      </c>
      <c r="G6" s="242">
        <v>40529</v>
      </c>
      <c r="I6" s="237"/>
    </row>
    <row r="7" spans="1:9" ht="19.5" customHeight="1">
      <c r="A7" s="114">
        <v>3</v>
      </c>
      <c r="B7" s="93"/>
      <c r="C7" s="88"/>
      <c r="D7" s="15"/>
      <c r="E7" s="427" t="s">
        <v>1322</v>
      </c>
      <c r="F7" s="253" t="s">
        <v>1323</v>
      </c>
      <c r="G7" s="254">
        <v>39832</v>
      </c>
      <c r="I7" s="237"/>
    </row>
    <row r="8" spans="1:9" ht="19.5" customHeight="1">
      <c r="A8" s="115">
        <v>4</v>
      </c>
      <c r="B8" s="93"/>
      <c r="C8" s="88"/>
      <c r="D8" s="15"/>
      <c r="E8" s="245" t="s">
        <v>908</v>
      </c>
      <c r="F8" s="246" t="s">
        <v>909</v>
      </c>
      <c r="G8" s="192">
        <v>40236</v>
      </c>
      <c r="I8" s="237"/>
    </row>
    <row r="9" spans="1:9" ht="19.5" customHeight="1">
      <c r="A9" s="115">
        <v>5</v>
      </c>
      <c r="B9" s="93"/>
      <c r="C9" s="88"/>
      <c r="D9" s="15"/>
      <c r="E9" s="247" t="s">
        <v>1855</v>
      </c>
      <c r="F9" s="248" t="s">
        <v>1307</v>
      </c>
      <c r="G9" s="96" t="s">
        <v>1308</v>
      </c>
    </row>
    <row r="10" spans="1:9" ht="19.5" customHeight="1">
      <c r="A10" s="114">
        <v>6</v>
      </c>
      <c r="B10" s="93"/>
      <c r="C10" s="88"/>
      <c r="D10" s="15" t="s">
        <v>1353</v>
      </c>
      <c r="E10" s="530" t="s">
        <v>1388</v>
      </c>
      <c r="F10" s="531" t="s">
        <v>1389</v>
      </c>
      <c r="G10" s="411">
        <v>40633</v>
      </c>
    </row>
    <row r="11" spans="1:9" ht="19.5" customHeight="1">
      <c r="A11" s="115">
        <v>7</v>
      </c>
      <c r="B11" s="93"/>
      <c r="C11" s="88"/>
      <c r="D11" s="15"/>
      <c r="E11" s="247" t="s">
        <v>910</v>
      </c>
      <c r="F11" s="248" t="s">
        <v>911</v>
      </c>
      <c r="G11" s="96">
        <v>40140</v>
      </c>
    </row>
    <row r="12" spans="1:9" ht="19.5" customHeight="1">
      <c r="A12" s="115">
        <v>8</v>
      </c>
      <c r="B12" s="93"/>
      <c r="C12" s="88"/>
      <c r="D12" s="12"/>
      <c r="E12" s="249" t="s">
        <v>912</v>
      </c>
      <c r="F12" s="250" t="s">
        <v>913</v>
      </c>
      <c r="G12" s="192">
        <v>40518</v>
      </c>
    </row>
    <row r="13" spans="1:9" ht="19.5" customHeight="1">
      <c r="A13" s="114">
        <v>9</v>
      </c>
      <c r="B13" s="93"/>
      <c r="C13" s="88"/>
      <c r="D13" s="15"/>
      <c r="E13" s="247" t="s">
        <v>914</v>
      </c>
      <c r="F13" s="248" t="s">
        <v>915</v>
      </c>
      <c r="G13" s="96">
        <v>40352</v>
      </c>
    </row>
    <row r="14" spans="1:9" ht="19.5" customHeight="1">
      <c r="A14" s="115">
        <v>10</v>
      </c>
      <c r="B14" s="93"/>
      <c r="C14" s="88"/>
      <c r="D14" s="15"/>
      <c r="E14" s="247" t="s">
        <v>1313</v>
      </c>
      <c r="F14" s="248" t="s">
        <v>1314</v>
      </c>
      <c r="G14" s="96" t="s">
        <v>1315</v>
      </c>
    </row>
    <row r="15" spans="1:9" ht="19.5" customHeight="1">
      <c r="A15" s="115">
        <v>11</v>
      </c>
      <c r="B15" s="93"/>
      <c r="C15" s="88"/>
      <c r="D15" s="12"/>
      <c r="E15" s="400" t="s">
        <v>916</v>
      </c>
      <c r="F15" s="244" t="s">
        <v>917</v>
      </c>
      <c r="G15" s="96">
        <v>40439</v>
      </c>
    </row>
    <row r="16" spans="1:9" ht="19.5" customHeight="1">
      <c r="A16" s="114">
        <v>12</v>
      </c>
      <c r="B16" s="93"/>
      <c r="C16" s="88"/>
      <c r="D16" s="15"/>
      <c r="E16" s="247" t="s">
        <v>918</v>
      </c>
      <c r="F16" s="248" t="s">
        <v>919</v>
      </c>
      <c r="G16" s="96">
        <v>40476</v>
      </c>
    </row>
    <row r="17" spans="1:7" ht="19.5" customHeight="1">
      <c r="A17" s="115">
        <v>13</v>
      </c>
      <c r="B17" s="93"/>
      <c r="C17" s="88"/>
      <c r="D17" s="15"/>
      <c r="E17" s="400" t="s">
        <v>920</v>
      </c>
      <c r="F17" s="244" t="s">
        <v>921</v>
      </c>
      <c r="G17" s="96">
        <v>40364</v>
      </c>
    </row>
    <row r="18" spans="1:7" ht="19.5" customHeight="1">
      <c r="A18" s="115">
        <v>14</v>
      </c>
      <c r="B18" s="93"/>
      <c r="C18" s="88"/>
      <c r="D18" s="12"/>
      <c r="E18" s="247" t="s">
        <v>922</v>
      </c>
      <c r="F18" s="248" t="s">
        <v>923</v>
      </c>
      <c r="G18" s="96">
        <v>40549</v>
      </c>
    </row>
    <row r="19" spans="1:7" ht="19.5" customHeight="1">
      <c r="A19" s="114">
        <v>15</v>
      </c>
      <c r="B19" s="93"/>
      <c r="C19" s="88"/>
      <c r="D19" s="12"/>
      <c r="E19" s="247" t="s">
        <v>1297</v>
      </c>
      <c r="F19" s="248" t="s">
        <v>1298</v>
      </c>
      <c r="G19" s="96">
        <v>40277</v>
      </c>
    </row>
    <row r="20" spans="1:7" ht="19.5" customHeight="1">
      <c r="A20" s="115">
        <v>16</v>
      </c>
      <c r="B20" s="93"/>
      <c r="C20" s="88"/>
      <c r="D20" s="15"/>
      <c r="E20" s="428" t="s">
        <v>1240</v>
      </c>
      <c r="F20" s="429" t="s">
        <v>924</v>
      </c>
      <c r="G20" s="96">
        <v>40617</v>
      </c>
    </row>
    <row r="21" spans="1:7" ht="19.5" customHeight="1">
      <c r="A21" s="115">
        <v>17</v>
      </c>
      <c r="B21" s="93"/>
      <c r="C21" s="88"/>
      <c r="D21" s="15"/>
      <c r="E21" s="400" t="s">
        <v>925</v>
      </c>
      <c r="F21" s="244" t="s">
        <v>926</v>
      </c>
      <c r="G21" s="96">
        <v>40682</v>
      </c>
    </row>
    <row r="22" spans="1:7" ht="19.5" customHeight="1">
      <c r="A22" s="114">
        <v>18</v>
      </c>
      <c r="B22" s="93"/>
      <c r="C22" s="88"/>
      <c r="D22" s="15" t="s">
        <v>1353</v>
      </c>
      <c r="E22" s="590" t="s">
        <v>1858</v>
      </c>
      <c r="F22" s="532" t="s">
        <v>1859</v>
      </c>
      <c r="G22" s="411">
        <v>40334</v>
      </c>
    </row>
    <row r="23" spans="1:7" ht="19.5" customHeight="1">
      <c r="A23" s="115">
        <v>19</v>
      </c>
      <c r="B23" s="93"/>
      <c r="C23" s="88"/>
      <c r="D23" s="15"/>
      <c r="E23" s="427" t="s">
        <v>1285</v>
      </c>
      <c r="F23" s="253" t="s">
        <v>927</v>
      </c>
      <c r="G23" s="254">
        <v>40069</v>
      </c>
    </row>
    <row r="24" spans="1:7" ht="19.5" customHeight="1">
      <c r="A24" s="115">
        <v>20</v>
      </c>
      <c r="B24" s="93"/>
      <c r="C24" s="88"/>
      <c r="D24" s="431"/>
      <c r="E24" s="430" t="s">
        <v>928</v>
      </c>
      <c r="F24" s="407" t="s">
        <v>929</v>
      </c>
      <c r="G24" s="96">
        <v>40309</v>
      </c>
    </row>
    <row r="25" spans="1:7" ht="19.5" customHeight="1">
      <c r="A25" s="114">
        <v>21</v>
      </c>
      <c r="B25" s="93"/>
      <c r="C25" s="643" t="s">
        <v>1896</v>
      </c>
      <c r="D25" s="15" t="s">
        <v>1353</v>
      </c>
      <c r="E25" s="530" t="s">
        <v>1899</v>
      </c>
      <c r="F25" s="531" t="s">
        <v>1900</v>
      </c>
      <c r="G25" s="411">
        <v>40645</v>
      </c>
    </row>
    <row r="26" spans="1:7" ht="19.5" customHeight="1">
      <c r="A26" s="115">
        <v>22</v>
      </c>
      <c r="B26" s="93"/>
      <c r="C26" s="88"/>
      <c r="D26" s="15"/>
      <c r="E26" s="247" t="s">
        <v>930</v>
      </c>
      <c r="F26" s="248" t="s">
        <v>931</v>
      </c>
      <c r="G26" s="96">
        <v>40437</v>
      </c>
    </row>
    <row r="27" spans="1:7" ht="19.5" customHeight="1">
      <c r="A27" s="115">
        <v>23</v>
      </c>
      <c r="B27" s="93"/>
      <c r="C27" s="170"/>
      <c r="D27" s="15"/>
      <c r="E27" s="430" t="s">
        <v>932</v>
      </c>
      <c r="F27" s="407" t="s">
        <v>933</v>
      </c>
      <c r="G27" s="96">
        <v>40521</v>
      </c>
    </row>
    <row r="28" spans="1:7" ht="19.5" customHeight="1">
      <c r="A28" s="114">
        <v>24</v>
      </c>
      <c r="B28" s="93"/>
      <c r="C28" s="170"/>
      <c r="D28" s="15"/>
      <c r="E28" s="430" t="s">
        <v>934</v>
      </c>
      <c r="F28" s="407" t="s">
        <v>935</v>
      </c>
      <c r="G28" s="432">
        <v>40177</v>
      </c>
    </row>
    <row r="29" spans="1:7" ht="19.5" customHeight="1">
      <c r="A29" s="115">
        <v>25</v>
      </c>
      <c r="B29" s="93"/>
      <c r="C29" s="170"/>
      <c r="D29" s="15"/>
      <c r="E29" s="247" t="s">
        <v>1232</v>
      </c>
      <c r="F29" s="248" t="s">
        <v>936</v>
      </c>
      <c r="G29" s="96">
        <v>39896</v>
      </c>
    </row>
    <row r="30" spans="1:7" ht="19.5" customHeight="1">
      <c r="A30" s="115">
        <v>26</v>
      </c>
      <c r="B30" s="93"/>
      <c r="C30" s="88"/>
      <c r="D30" s="15"/>
      <c r="E30" s="247" t="s">
        <v>937</v>
      </c>
      <c r="F30" s="248" t="s">
        <v>938</v>
      </c>
      <c r="G30" s="96">
        <v>40015</v>
      </c>
    </row>
    <row r="31" spans="1:7" ht="19.5" customHeight="1">
      <c r="A31" s="114">
        <v>27</v>
      </c>
      <c r="B31" s="93"/>
      <c r="C31" s="643" t="s">
        <v>1896</v>
      </c>
      <c r="D31" s="12" t="s">
        <v>1353</v>
      </c>
      <c r="E31" s="530" t="s">
        <v>1894</v>
      </c>
      <c r="F31" s="531" t="s">
        <v>1895</v>
      </c>
      <c r="G31" s="411">
        <v>40456</v>
      </c>
    </row>
    <row r="32" spans="1:7" ht="19.5" customHeight="1">
      <c r="A32" s="115">
        <v>28</v>
      </c>
      <c r="B32" s="93"/>
      <c r="C32" s="88"/>
      <c r="D32" s="15"/>
      <c r="E32" s="400" t="s">
        <v>939</v>
      </c>
      <c r="F32" s="244" t="s">
        <v>940</v>
      </c>
      <c r="G32" s="96">
        <v>40502</v>
      </c>
    </row>
    <row r="33" spans="1:10" ht="19.5" customHeight="1">
      <c r="A33" s="115">
        <v>29</v>
      </c>
      <c r="B33" s="93"/>
      <c r="C33" s="88"/>
      <c r="D33" s="12"/>
      <c r="E33" s="247" t="s">
        <v>941</v>
      </c>
      <c r="F33" s="248" t="s">
        <v>942</v>
      </c>
      <c r="G33" s="96">
        <v>40010</v>
      </c>
      <c r="H33" s="8"/>
      <c r="I33" s="14"/>
    </row>
    <row r="34" spans="1:10" ht="19.5" customHeight="1">
      <c r="A34" s="114">
        <v>30</v>
      </c>
      <c r="B34" s="93"/>
      <c r="C34" s="88"/>
      <c r="D34" s="15"/>
      <c r="E34" s="400" t="s">
        <v>943</v>
      </c>
      <c r="F34" s="244" t="s">
        <v>944</v>
      </c>
      <c r="G34" s="96">
        <v>40365</v>
      </c>
      <c r="H34" s="8"/>
      <c r="I34" s="14"/>
    </row>
    <row r="35" spans="1:10" ht="19.5" customHeight="1">
      <c r="A35" s="115">
        <v>31</v>
      </c>
      <c r="B35" s="93"/>
      <c r="C35" s="88"/>
      <c r="D35" s="15"/>
      <c r="E35" s="247" t="s">
        <v>945</v>
      </c>
      <c r="F35" s="248" t="s">
        <v>946</v>
      </c>
      <c r="G35" s="96">
        <v>40607</v>
      </c>
      <c r="H35" s="8"/>
      <c r="I35" s="14"/>
    </row>
    <row r="36" spans="1:10" ht="19.5" customHeight="1">
      <c r="A36" s="115">
        <v>32</v>
      </c>
      <c r="B36" s="93"/>
      <c r="C36" s="88"/>
      <c r="D36" s="15"/>
      <c r="E36" s="247" t="s">
        <v>947</v>
      </c>
      <c r="F36" s="248" t="s">
        <v>948</v>
      </c>
      <c r="G36" s="96">
        <v>40406</v>
      </c>
      <c r="H36" s="8"/>
      <c r="I36" s="14"/>
    </row>
    <row r="37" spans="1:10" ht="19.5" customHeight="1">
      <c r="A37" s="114">
        <v>33</v>
      </c>
      <c r="B37" s="93"/>
      <c r="C37" s="88"/>
      <c r="D37" s="15"/>
      <c r="E37" s="247" t="s">
        <v>1233</v>
      </c>
      <c r="F37" s="248" t="s">
        <v>949</v>
      </c>
      <c r="G37" s="96">
        <v>40407</v>
      </c>
      <c r="H37" s="8"/>
      <c r="I37" s="14"/>
    </row>
    <row r="38" spans="1:10" ht="19.5" customHeight="1">
      <c r="A38" s="115">
        <v>34</v>
      </c>
      <c r="B38" s="93"/>
      <c r="C38" s="88"/>
      <c r="D38" s="12"/>
      <c r="E38" s="400" t="s">
        <v>950</v>
      </c>
      <c r="F38" s="244" t="s">
        <v>951</v>
      </c>
      <c r="G38" s="96">
        <v>40245</v>
      </c>
      <c r="H38" s="8"/>
      <c r="I38" s="14"/>
    </row>
    <row r="39" spans="1:10" ht="19.5" customHeight="1">
      <c r="A39" s="115">
        <v>35</v>
      </c>
      <c r="B39" s="93"/>
      <c r="C39" s="140"/>
      <c r="D39" s="84"/>
      <c r="E39" s="247" t="s">
        <v>952</v>
      </c>
      <c r="F39" s="248" t="s">
        <v>953</v>
      </c>
      <c r="G39" s="96">
        <v>40371</v>
      </c>
      <c r="H39" s="8"/>
      <c r="I39" s="14"/>
      <c r="J39" t="s">
        <v>12</v>
      </c>
    </row>
    <row r="40" spans="1:10" ht="19.5" customHeight="1">
      <c r="A40" s="114">
        <v>36</v>
      </c>
      <c r="B40" s="93"/>
      <c r="C40" s="116"/>
      <c r="D40" s="433"/>
      <c r="E40" s="247" t="s">
        <v>954</v>
      </c>
      <c r="F40" s="248" t="s">
        <v>955</v>
      </c>
      <c r="G40" s="96">
        <v>40507</v>
      </c>
      <c r="H40" s="8"/>
      <c r="I40" s="14"/>
    </row>
    <row r="41" spans="1:10" ht="19.5" customHeight="1">
      <c r="A41" s="115">
        <v>37</v>
      </c>
      <c r="B41" s="93"/>
      <c r="C41" s="116"/>
      <c r="D41" s="433"/>
      <c r="E41" s="400" t="s">
        <v>956</v>
      </c>
      <c r="F41" s="244" t="s">
        <v>957</v>
      </c>
      <c r="G41" s="96">
        <v>40275</v>
      </c>
      <c r="H41" s="8"/>
      <c r="I41" s="14"/>
    </row>
    <row r="42" spans="1:10" ht="19.5" customHeight="1">
      <c r="A42" s="115">
        <v>38</v>
      </c>
      <c r="B42" s="93"/>
      <c r="C42" s="116"/>
      <c r="D42" s="433"/>
      <c r="E42" s="430" t="s">
        <v>958</v>
      </c>
      <c r="F42" s="407" t="s">
        <v>959</v>
      </c>
      <c r="G42" s="96">
        <v>40350</v>
      </c>
      <c r="H42" s="8"/>
      <c r="I42" s="14"/>
    </row>
    <row r="43" spans="1:10" ht="19.5" customHeight="1">
      <c r="A43" s="114">
        <v>39</v>
      </c>
      <c r="B43" s="93"/>
      <c r="C43" s="173"/>
      <c r="D43" s="433"/>
      <c r="E43" s="400" t="s">
        <v>960</v>
      </c>
      <c r="F43" s="244" t="s">
        <v>961</v>
      </c>
      <c r="G43" s="96">
        <v>40463</v>
      </c>
      <c r="H43" s="8"/>
      <c r="I43" s="14"/>
    </row>
    <row r="44" spans="1:10" ht="19.5" customHeight="1">
      <c r="A44" s="115">
        <v>40</v>
      </c>
      <c r="B44" s="93"/>
      <c r="C44" s="173"/>
      <c r="D44" s="433"/>
      <c r="E44" s="640" t="s">
        <v>962</v>
      </c>
      <c r="F44" s="641" t="s">
        <v>963</v>
      </c>
      <c r="G44" s="150">
        <v>40183</v>
      </c>
      <c r="H44" s="8"/>
      <c r="I44" s="14"/>
    </row>
    <row r="45" spans="1:10" ht="19.5" customHeight="1">
      <c r="A45" s="115">
        <v>41</v>
      </c>
      <c r="B45" s="93"/>
      <c r="C45" s="173"/>
      <c r="D45" s="433"/>
      <c r="E45" s="247" t="s">
        <v>964</v>
      </c>
      <c r="F45" s="248" t="s">
        <v>965</v>
      </c>
      <c r="G45" s="96">
        <v>40351</v>
      </c>
      <c r="H45" s="8"/>
      <c r="I45" s="14" t="s">
        <v>12</v>
      </c>
    </row>
    <row r="46" spans="1:10" ht="19.5" customHeight="1">
      <c r="A46" s="114">
        <v>42</v>
      </c>
      <c r="B46" s="93"/>
      <c r="C46" s="173"/>
      <c r="D46" s="433"/>
      <c r="E46" s="400" t="s">
        <v>966</v>
      </c>
      <c r="F46" s="244" t="s">
        <v>967</v>
      </c>
      <c r="G46" s="96">
        <v>40610</v>
      </c>
      <c r="H46" s="8"/>
      <c r="I46" s="14"/>
    </row>
    <row r="47" spans="1:10" ht="19.5" customHeight="1">
      <c r="A47" s="115">
        <v>43</v>
      </c>
      <c r="B47" s="93"/>
      <c r="C47" s="116"/>
      <c r="D47" s="433"/>
      <c r="E47" s="400" t="s">
        <v>968</v>
      </c>
      <c r="F47" s="244" t="s">
        <v>969</v>
      </c>
      <c r="G47" s="96">
        <v>40434</v>
      </c>
      <c r="H47" s="8"/>
      <c r="I47" s="14"/>
    </row>
    <row r="48" spans="1:10" ht="19.5" customHeight="1">
      <c r="A48" s="115">
        <v>44</v>
      </c>
      <c r="B48" s="93"/>
      <c r="C48" s="116"/>
      <c r="D48" s="433" t="s">
        <v>1353</v>
      </c>
      <c r="E48" s="530" t="s">
        <v>1860</v>
      </c>
      <c r="F48" s="531" t="s">
        <v>1861</v>
      </c>
      <c r="G48" s="411">
        <v>40409</v>
      </c>
      <c r="H48" s="8"/>
      <c r="I48" s="14"/>
    </row>
    <row r="49" spans="1:9" ht="19.5" customHeight="1" thickBot="1">
      <c r="A49" s="307">
        <v>45</v>
      </c>
      <c r="B49" s="234"/>
      <c r="C49" s="332"/>
      <c r="D49" s="168"/>
      <c r="E49" s="642" t="s">
        <v>970</v>
      </c>
      <c r="F49" s="469" t="s">
        <v>971</v>
      </c>
      <c r="G49" s="333">
        <v>40517</v>
      </c>
      <c r="H49" s="8"/>
      <c r="I49" s="14"/>
    </row>
    <row r="50" spans="1:9" ht="19.5" customHeight="1" thickBot="1">
      <c r="A50" s="110" t="s">
        <v>10</v>
      </c>
      <c r="B50" s="111"/>
      <c r="C50" s="226"/>
      <c r="D50" s="715" t="s">
        <v>1884</v>
      </c>
      <c r="E50" s="675"/>
      <c r="F50" s="676" t="s">
        <v>11</v>
      </c>
      <c r="G50" s="677"/>
    </row>
    <row r="51" spans="1:9" ht="19.5" customHeight="1">
      <c r="A51" s="678"/>
      <c r="B51" s="679"/>
      <c r="C51" s="679"/>
      <c r="D51" s="679"/>
      <c r="E51" s="679"/>
      <c r="F51" s="679"/>
      <c r="G51" s="680"/>
    </row>
    <row r="52" spans="1:9" ht="19.5" customHeight="1" thickBot="1">
      <c r="A52" s="681"/>
      <c r="B52" s="682"/>
      <c r="C52" s="682"/>
      <c r="D52" s="682"/>
      <c r="E52" s="682"/>
      <c r="F52" s="682"/>
      <c r="G52" s="683"/>
    </row>
  </sheetData>
  <sortState xmlns:xlrd2="http://schemas.microsoft.com/office/spreadsheetml/2017/richdata2" ref="E6:G49">
    <sortCondition ref="E5:E49"/>
  </sortState>
  <mergeCells count="11">
    <mergeCell ref="D50:E50"/>
    <mergeCell ref="F50:G50"/>
    <mergeCell ref="A51:G52"/>
    <mergeCell ref="A1:D1"/>
    <mergeCell ref="E1:G1"/>
    <mergeCell ref="A2:G2"/>
    <mergeCell ref="A3:A4"/>
    <mergeCell ref="B3:B4"/>
    <mergeCell ref="C3:D3"/>
    <mergeCell ref="F3:F4"/>
    <mergeCell ref="G3:G4"/>
  </mergeCells>
  <phoneticPr fontId="21" type="noConversion"/>
  <conditionalFormatting sqref="E7:E8 E10:E12">
    <cfRule type="cellIs" dxfId="48" priority="4" stopIfTrue="1" operator="between">
      <formula>1</formula>
      <formula>3.9</formula>
    </cfRule>
  </conditionalFormatting>
  <conditionalFormatting sqref="E15:E36">
    <cfRule type="cellIs" dxfId="47" priority="3" stopIfTrue="1" operator="between">
      <formula>1</formula>
      <formula>3.9</formula>
    </cfRule>
  </conditionalFormatting>
  <conditionalFormatting sqref="E38:E49">
    <cfRule type="cellIs" dxfId="46" priority="1" stopIfTrue="1" operator="between">
      <formula>1</formula>
      <formula>3.9</formula>
    </cfRule>
  </conditionalFormatting>
  <pageMargins left="0.7" right="0.7" top="0.75" bottom="0.75" header="0.3" footer="0.3"/>
  <pageSetup paperSize="5" scale="71" orientation="portrait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AD79-6BED-4CA6-A391-20EF1B37E416}">
  <sheetPr>
    <pageSetUpPr fitToPage="1"/>
  </sheetPr>
  <dimension ref="A1:K52"/>
  <sheetViews>
    <sheetView showGridLines="0" topLeftCell="A38" zoomScaleNormal="100" workbookViewId="0">
      <selection activeCell="K45" sqref="K45"/>
    </sheetView>
  </sheetViews>
  <sheetFormatPr baseColWidth="10" defaultColWidth="12.5703125" defaultRowHeight="15" customHeight="1"/>
  <cols>
    <col min="1" max="2" width="5.7109375" customWidth="1"/>
    <col min="3" max="3" width="10.7109375" customWidth="1"/>
    <col min="4" max="4" width="14.28515625" customWidth="1"/>
    <col min="5" max="5" width="60.7109375" customWidth="1"/>
    <col min="6" max="7" width="14.7109375" customWidth="1"/>
    <col min="8" max="8" width="7.28515625" customWidth="1"/>
    <col min="9" max="11" width="11.42578125" customWidth="1"/>
    <col min="12" max="26" width="10.5703125" customWidth="1"/>
  </cols>
  <sheetData>
    <row r="1" spans="1:9" ht="72.75" customHeight="1" thickBot="1">
      <c r="A1" s="684"/>
      <c r="B1" s="685"/>
      <c r="C1" s="685"/>
      <c r="D1" s="685"/>
      <c r="E1" s="686" t="s">
        <v>0</v>
      </c>
      <c r="F1" s="685"/>
      <c r="G1" s="687"/>
    </row>
    <row r="2" spans="1:9" ht="19.5" customHeight="1" thickBot="1">
      <c r="A2" s="688" t="s">
        <v>1</v>
      </c>
      <c r="B2" s="689"/>
      <c r="C2" s="689"/>
      <c r="D2" s="689"/>
      <c r="E2" s="689"/>
      <c r="F2" s="689"/>
      <c r="G2" s="690"/>
    </row>
    <row r="3" spans="1:9" ht="19.5" customHeight="1" thickBot="1">
      <c r="A3" s="691" t="s">
        <v>2</v>
      </c>
      <c r="B3" s="692" t="s">
        <v>3</v>
      </c>
      <c r="C3" s="693" t="s">
        <v>4</v>
      </c>
      <c r="D3" s="675"/>
      <c r="E3" s="107" t="s">
        <v>1841</v>
      </c>
      <c r="F3" s="672" t="s">
        <v>5</v>
      </c>
      <c r="G3" s="691" t="s">
        <v>6</v>
      </c>
    </row>
    <row r="4" spans="1:9" ht="19.5" customHeight="1" thickBot="1">
      <c r="A4" s="673"/>
      <c r="B4" s="673"/>
      <c r="C4" s="106" t="s">
        <v>7</v>
      </c>
      <c r="D4" s="106" t="s">
        <v>8</v>
      </c>
      <c r="E4" s="106" t="s">
        <v>9</v>
      </c>
      <c r="F4" s="673"/>
      <c r="G4" s="673"/>
    </row>
    <row r="5" spans="1:9" ht="19.5" customHeight="1">
      <c r="A5" s="89">
        <v>1</v>
      </c>
      <c r="B5" s="174"/>
      <c r="C5" s="175"/>
      <c r="D5" s="385"/>
      <c r="E5" s="434" t="s">
        <v>972</v>
      </c>
      <c r="F5" s="435" t="s">
        <v>973</v>
      </c>
      <c r="G5" s="436">
        <v>40364</v>
      </c>
    </row>
    <row r="6" spans="1:9" ht="19.5" customHeight="1">
      <c r="A6" s="98">
        <v>2</v>
      </c>
      <c r="B6" s="176"/>
      <c r="C6" s="177"/>
      <c r="D6" s="360"/>
      <c r="E6" s="396" t="s">
        <v>974</v>
      </c>
      <c r="F6" s="244" t="s">
        <v>975</v>
      </c>
      <c r="G6" s="96">
        <v>40363</v>
      </c>
    </row>
    <row r="7" spans="1:9" ht="19.5" customHeight="1">
      <c r="A7" s="98">
        <v>3</v>
      </c>
      <c r="B7" s="176"/>
      <c r="C7" s="177"/>
      <c r="D7" s="365" t="s">
        <v>1353</v>
      </c>
      <c r="E7" s="533" t="s">
        <v>1385</v>
      </c>
      <c r="F7" s="531" t="s">
        <v>1386</v>
      </c>
      <c r="G7" s="411" t="s">
        <v>1387</v>
      </c>
    </row>
    <row r="8" spans="1:9" ht="19.5" customHeight="1">
      <c r="A8" s="98">
        <v>4</v>
      </c>
      <c r="B8" s="176"/>
      <c r="C8" s="177"/>
      <c r="D8" s="360"/>
      <c r="E8" s="396" t="s">
        <v>976</v>
      </c>
      <c r="F8" s="244" t="s">
        <v>977</v>
      </c>
      <c r="G8" s="96">
        <v>40432</v>
      </c>
    </row>
    <row r="9" spans="1:9" ht="19.5" customHeight="1">
      <c r="A9" s="98">
        <v>5</v>
      </c>
      <c r="B9" s="176"/>
      <c r="C9" s="177"/>
      <c r="D9" s="360"/>
      <c r="E9" s="396" t="s">
        <v>978</v>
      </c>
      <c r="F9" s="244" t="s">
        <v>979</v>
      </c>
      <c r="G9" s="96">
        <v>40500</v>
      </c>
    </row>
    <row r="10" spans="1:9" ht="19.5" customHeight="1">
      <c r="A10" s="98">
        <v>6</v>
      </c>
      <c r="B10" s="176"/>
      <c r="C10" s="177"/>
      <c r="D10" s="365"/>
      <c r="E10" s="437" t="s">
        <v>980</v>
      </c>
      <c r="F10" s="438" t="s">
        <v>981</v>
      </c>
      <c r="G10" s="275">
        <v>40574</v>
      </c>
    </row>
    <row r="11" spans="1:9" ht="19.5" customHeight="1">
      <c r="A11" s="98">
        <v>7</v>
      </c>
      <c r="B11" s="176"/>
      <c r="C11" s="177"/>
      <c r="D11" s="365"/>
      <c r="E11" s="396" t="s">
        <v>982</v>
      </c>
      <c r="F11" s="244" t="s">
        <v>983</v>
      </c>
      <c r="G11" s="96">
        <v>40584</v>
      </c>
      <c r="I11" t="s">
        <v>12</v>
      </c>
    </row>
    <row r="12" spans="1:9" ht="19.5" customHeight="1">
      <c r="A12" s="98">
        <v>8</v>
      </c>
      <c r="B12" s="176"/>
      <c r="C12" s="177"/>
      <c r="D12" s="365"/>
      <c r="E12" s="534" t="s">
        <v>984</v>
      </c>
      <c r="F12" s="453" t="s">
        <v>985</v>
      </c>
      <c r="G12" s="275">
        <v>40623</v>
      </c>
    </row>
    <row r="13" spans="1:9" ht="19.5" customHeight="1">
      <c r="A13" s="98">
        <v>9</v>
      </c>
      <c r="B13" s="176"/>
      <c r="C13" s="177"/>
      <c r="D13" s="360" t="s">
        <v>1353</v>
      </c>
      <c r="E13" s="591" t="s">
        <v>1874</v>
      </c>
      <c r="F13" s="594" t="s">
        <v>1875</v>
      </c>
      <c r="G13" s="411">
        <v>40623</v>
      </c>
    </row>
    <row r="14" spans="1:9" ht="19.5" customHeight="1">
      <c r="A14" s="98">
        <v>10</v>
      </c>
      <c r="B14" s="176"/>
      <c r="C14" s="177"/>
      <c r="D14" s="360"/>
      <c r="E14" s="396" t="s">
        <v>986</v>
      </c>
      <c r="F14" s="244" t="s">
        <v>987</v>
      </c>
      <c r="G14" s="96">
        <v>40551</v>
      </c>
    </row>
    <row r="15" spans="1:9" ht="19.5" customHeight="1">
      <c r="A15" s="98">
        <v>11</v>
      </c>
      <c r="B15" s="176"/>
      <c r="C15" s="177"/>
      <c r="D15" s="365"/>
      <c r="E15" s="396" t="s">
        <v>988</v>
      </c>
      <c r="F15" s="244" t="s">
        <v>989</v>
      </c>
      <c r="G15" s="96">
        <v>40367</v>
      </c>
    </row>
    <row r="16" spans="1:9" ht="19.5" customHeight="1">
      <c r="A16" s="98">
        <v>12</v>
      </c>
      <c r="B16" s="176"/>
      <c r="C16" s="177"/>
      <c r="D16" s="360" t="s">
        <v>1353</v>
      </c>
      <c r="E16" s="457" t="s">
        <v>1383</v>
      </c>
      <c r="F16" s="532" t="s">
        <v>1384</v>
      </c>
      <c r="G16" s="411">
        <v>40628</v>
      </c>
    </row>
    <row r="17" spans="1:7" ht="19.5" customHeight="1">
      <c r="A17" s="98">
        <v>13</v>
      </c>
      <c r="B17" s="176"/>
      <c r="C17" s="177"/>
      <c r="D17" s="360"/>
      <c r="E17" s="311" t="s">
        <v>1234</v>
      </c>
      <c r="F17" s="248" t="s">
        <v>990</v>
      </c>
      <c r="G17" s="96">
        <v>40545</v>
      </c>
    </row>
    <row r="18" spans="1:7" ht="19.5" customHeight="1">
      <c r="A18" s="98">
        <v>14</v>
      </c>
      <c r="B18" s="176"/>
      <c r="C18" s="177"/>
      <c r="D18" s="360"/>
      <c r="E18" s="311" t="s">
        <v>1324</v>
      </c>
      <c r="F18" s="248" t="s">
        <v>1325</v>
      </c>
      <c r="G18" s="96">
        <v>40638</v>
      </c>
    </row>
    <row r="19" spans="1:7" ht="19.5" customHeight="1">
      <c r="A19" s="98">
        <v>15</v>
      </c>
      <c r="B19" s="176"/>
      <c r="C19" s="177"/>
      <c r="D19" s="360" t="s">
        <v>1353</v>
      </c>
      <c r="E19" s="591" t="s">
        <v>1862</v>
      </c>
      <c r="F19" s="594" t="s">
        <v>1863</v>
      </c>
      <c r="G19" s="411">
        <v>40363</v>
      </c>
    </row>
    <row r="20" spans="1:7" ht="19.5" customHeight="1">
      <c r="A20" s="98">
        <v>16</v>
      </c>
      <c r="B20" s="176"/>
      <c r="C20" s="177"/>
      <c r="D20" s="360"/>
      <c r="E20" s="396" t="s">
        <v>991</v>
      </c>
      <c r="F20" s="244" t="s">
        <v>992</v>
      </c>
      <c r="G20" s="96">
        <v>40646</v>
      </c>
    </row>
    <row r="21" spans="1:7" ht="19.5" customHeight="1">
      <c r="A21" s="98">
        <v>17</v>
      </c>
      <c r="B21" s="176"/>
      <c r="C21" s="177"/>
      <c r="D21" s="360"/>
      <c r="E21" s="439" t="s">
        <v>1235</v>
      </c>
      <c r="F21" s="407" t="s">
        <v>993</v>
      </c>
      <c r="G21" s="96">
        <v>40578</v>
      </c>
    </row>
    <row r="22" spans="1:7" ht="19.5" customHeight="1">
      <c r="A22" s="98">
        <v>18</v>
      </c>
      <c r="B22" s="176"/>
      <c r="C22" s="177"/>
      <c r="D22" s="365"/>
      <c r="E22" s="396" t="s">
        <v>1249</v>
      </c>
      <c r="F22" s="244" t="s">
        <v>1250</v>
      </c>
      <c r="G22" s="96">
        <v>40353</v>
      </c>
    </row>
    <row r="23" spans="1:7" ht="19.5" customHeight="1">
      <c r="A23" s="98">
        <v>19</v>
      </c>
      <c r="B23" s="176"/>
      <c r="C23" s="177"/>
      <c r="D23" s="360"/>
      <c r="E23" s="311" t="s">
        <v>994</v>
      </c>
      <c r="F23" s="248" t="s">
        <v>1236</v>
      </c>
      <c r="G23" s="96">
        <v>40498</v>
      </c>
    </row>
    <row r="24" spans="1:7" ht="19.5" customHeight="1">
      <c r="A24" s="98">
        <v>20</v>
      </c>
      <c r="B24" s="176"/>
      <c r="C24" s="177"/>
      <c r="D24" s="365"/>
      <c r="E24" s="396" t="s">
        <v>995</v>
      </c>
      <c r="F24" s="244" t="s">
        <v>996</v>
      </c>
      <c r="G24" s="96">
        <v>40156</v>
      </c>
    </row>
    <row r="25" spans="1:7" ht="19.5" customHeight="1">
      <c r="A25" s="98">
        <v>21</v>
      </c>
      <c r="B25" s="176"/>
      <c r="C25" s="177"/>
      <c r="D25" s="365"/>
      <c r="E25" s="396" t="s">
        <v>997</v>
      </c>
      <c r="F25" s="244" t="s">
        <v>998</v>
      </c>
      <c r="G25" s="96">
        <v>40366</v>
      </c>
    </row>
    <row r="26" spans="1:7" ht="19.5" customHeight="1">
      <c r="A26" s="98">
        <v>22</v>
      </c>
      <c r="B26" s="176"/>
      <c r="C26" s="177"/>
      <c r="D26" s="365"/>
      <c r="E26" s="311" t="s">
        <v>999</v>
      </c>
      <c r="F26" s="248" t="s">
        <v>1000</v>
      </c>
      <c r="G26" s="96">
        <v>40694</v>
      </c>
    </row>
    <row r="27" spans="1:7" ht="19.5" customHeight="1">
      <c r="A27" s="98">
        <v>23</v>
      </c>
      <c r="B27" s="176"/>
      <c r="C27" s="177"/>
      <c r="D27" s="360"/>
      <c r="E27" s="437" t="s">
        <v>1001</v>
      </c>
      <c r="F27" s="438" t="s">
        <v>1002</v>
      </c>
      <c r="G27" s="275">
        <v>40555</v>
      </c>
    </row>
    <row r="28" spans="1:7" ht="19.5" customHeight="1">
      <c r="A28" s="98">
        <v>24</v>
      </c>
      <c r="B28" s="176"/>
      <c r="C28" s="177"/>
      <c r="D28" s="360"/>
      <c r="E28" s="311" t="s">
        <v>1003</v>
      </c>
      <c r="F28" s="248" t="s">
        <v>1004</v>
      </c>
      <c r="G28" s="96">
        <v>40253</v>
      </c>
    </row>
    <row r="29" spans="1:7" ht="19.5" customHeight="1">
      <c r="A29" s="98">
        <v>25</v>
      </c>
      <c r="B29" s="176"/>
      <c r="C29" s="177"/>
      <c r="D29" s="360"/>
      <c r="E29" s="396" t="s">
        <v>1005</v>
      </c>
      <c r="F29" s="440" t="s">
        <v>1006</v>
      </c>
      <c r="G29" s="441">
        <v>40399</v>
      </c>
    </row>
    <row r="30" spans="1:7" ht="19.5" customHeight="1">
      <c r="A30" s="98">
        <v>26</v>
      </c>
      <c r="B30" s="176"/>
      <c r="C30" s="177"/>
      <c r="D30" s="360"/>
      <c r="E30" s="311" t="s">
        <v>1007</v>
      </c>
      <c r="F30" s="248" t="s">
        <v>1008</v>
      </c>
      <c r="G30" s="96">
        <v>40363</v>
      </c>
    </row>
    <row r="31" spans="1:7" ht="19.5" customHeight="1">
      <c r="A31" s="98">
        <v>27</v>
      </c>
      <c r="B31" s="176"/>
      <c r="C31" s="644" t="s">
        <v>1896</v>
      </c>
      <c r="D31" s="360" t="s">
        <v>1353</v>
      </c>
      <c r="E31" s="591" t="s">
        <v>1897</v>
      </c>
      <c r="F31" s="594" t="s">
        <v>1898</v>
      </c>
      <c r="G31" s="411">
        <v>40350</v>
      </c>
    </row>
    <row r="32" spans="1:7" ht="19.5" customHeight="1">
      <c r="A32" s="98">
        <v>28</v>
      </c>
      <c r="B32" s="176"/>
      <c r="C32" s="177"/>
      <c r="D32" s="365"/>
      <c r="E32" s="396" t="s">
        <v>1263</v>
      </c>
      <c r="F32" s="244" t="s">
        <v>1264</v>
      </c>
      <c r="G32" s="96">
        <v>40394</v>
      </c>
    </row>
    <row r="33" spans="1:11" ht="19.5" customHeight="1">
      <c r="A33" s="98">
        <v>29</v>
      </c>
      <c r="B33" s="176"/>
      <c r="C33" s="177"/>
      <c r="D33" s="360"/>
      <c r="E33" s="439" t="s">
        <v>1009</v>
      </c>
      <c r="F33" s="407" t="s">
        <v>1010</v>
      </c>
      <c r="G33" s="96">
        <v>40466</v>
      </c>
    </row>
    <row r="34" spans="1:11" ht="19.5" customHeight="1">
      <c r="A34" s="98">
        <v>30</v>
      </c>
      <c r="B34" s="176"/>
      <c r="C34" s="177"/>
      <c r="D34" s="360"/>
      <c r="E34" s="396" t="s">
        <v>1011</v>
      </c>
      <c r="F34" s="244" t="s">
        <v>1012</v>
      </c>
      <c r="G34" s="96">
        <v>40400</v>
      </c>
    </row>
    <row r="35" spans="1:11" ht="19.5" customHeight="1">
      <c r="A35" s="98">
        <v>31</v>
      </c>
      <c r="B35" s="176"/>
      <c r="C35" s="177"/>
      <c r="D35" s="360"/>
      <c r="E35" s="396" t="s">
        <v>1013</v>
      </c>
      <c r="F35" s="244" t="s">
        <v>1014</v>
      </c>
      <c r="G35" s="96">
        <v>40540</v>
      </c>
    </row>
    <row r="36" spans="1:11" ht="19.5" customHeight="1">
      <c r="A36" s="98">
        <v>32</v>
      </c>
      <c r="B36" s="176"/>
      <c r="C36" s="177"/>
      <c r="D36" s="365"/>
      <c r="E36" s="442" t="s">
        <v>1015</v>
      </c>
      <c r="F36" s="443" t="s">
        <v>1016</v>
      </c>
      <c r="G36" s="275">
        <v>40406</v>
      </c>
    </row>
    <row r="37" spans="1:11" ht="19.5" customHeight="1">
      <c r="A37" s="98">
        <v>33</v>
      </c>
      <c r="B37" s="176"/>
      <c r="C37" s="177"/>
      <c r="D37" s="360"/>
      <c r="E37" s="396" t="s">
        <v>1017</v>
      </c>
      <c r="F37" s="244" t="s">
        <v>1018</v>
      </c>
      <c r="G37" s="96">
        <v>40491</v>
      </c>
    </row>
    <row r="38" spans="1:11" ht="19.5" customHeight="1">
      <c r="A38" s="98">
        <v>34</v>
      </c>
      <c r="B38" s="176"/>
      <c r="C38" s="180"/>
      <c r="D38" s="593"/>
      <c r="E38" s="396" t="s">
        <v>1021</v>
      </c>
      <c r="F38" s="244" t="s">
        <v>1022</v>
      </c>
      <c r="G38" s="96">
        <v>40444</v>
      </c>
    </row>
    <row r="39" spans="1:11" ht="19.5" customHeight="1">
      <c r="A39" s="98">
        <v>35</v>
      </c>
      <c r="B39" s="176"/>
      <c r="C39" s="183"/>
      <c r="D39" s="445"/>
      <c r="E39" s="442" t="s">
        <v>1309</v>
      </c>
      <c r="F39" s="443" t="s">
        <v>1310</v>
      </c>
      <c r="G39" s="275">
        <v>40578</v>
      </c>
    </row>
    <row r="40" spans="1:11" ht="19.5" customHeight="1">
      <c r="A40" s="98">
        <v>36</v>
      </c>
      <c r="B40" s="176"/>
      <c r="C40" s="187"/>
      <c r="D40" s="360"/>
      <c r="E40" s="311" t="s">
        <v>1286</v>
      </c>
      <c r="F40" s="248" t="s">
        <v>1287</v>
      </c>
      <c r="G40" s="96">
        <v>40534</v>
      </c>
    </row>
    <row r="41" spans="1:11" ht="19.5" customHeight="1">
      <c r="A41" s="98">
        <v>37</v>
      </c>
      <c r="B41" s="176"/>
      <c r="C41" s="187"/>
      <c r="D41" s="360"/>
      <c r="E41" s="311" t="s">
        <v>1288</v>
      </c>
      <c r="F41" s="248" t="s">
        <v>1289</v>
      </c>
      <c r="G41" s="96">
        <v>40436</v>
      </c>
    </row>
    <row r="42" spans="1:11" ht="19.5" customHeight="1">
      <c r="A42" s="98">
        <v>38</v>
      </c>
      <c r="B42" s="176"/>
      <c r="C42" s="188"/>
      <c r="D42" s="368"/>
      <c r="E42" s="311" t="s">
        <v>1023</v>
      </c>
      <c r="F42" s="248" t="s">
        <v>1024</v>
      </c>
      <c r="G42" s="96">
        <v>40652</v>
      </c>
    </row>
    <row r="43" spans="1:11" ht="19.5" customHeight="1">
      <c r="A43" s="98">
        <v>39</v>
      </c>
      <c r="B43" s="176"/>
      <c r="C43" s="190"/>
      <c r="D43" s="97"/>
      <c r="E43" s="311" t="s">
        <v>1025</v>
      </c>
      <c r="F43" s="248" t="s">
        <v>1026</v>
      </c>
      <c r="G43" s="96">
        <v>40555</v>
      </c>
    </row>
    <row r="44" spans="1:11" ht="19.5" customHeight="1">
      <c r="A44" s="98">
        <v>40</v>
      </c>
      <c r="B44" s="176"/>
      <c r="C44" s="190"/>
      <c r="D44" s="97"/>
      <c r="E44" s="311" t="s">
        <v>1274</v>
      </c>
      <c r="F44" s="248" t="s">
        <v>1275</v>
      </c>
      <c r="G44" s="96">
        <v>40032</v>
      </c>
    </row>
    <row r="45" spans="1:11" ht="19.5" customHeight="1">
      <c r="A45" s="98">
        <v>41</v>
      </c>
      <c r="B45" s="176"/>
      <c r="C45" s="190"/>
      <c r="D45" s="446"/>
      <c r="E45" s="396" t="s">
        <v>1027</v>
      </c>
      <c r="F45" s="244" t="s">
        <v>1028</v>
      </c>
      <c r="G45" s="96">
        <v>40574</v>
      </c>
      <c r="K45" t="s">
        <v>12</v>
      </c>
    </row>
    <row r="46" spans="1:11" ht="19.5" customHeight="1">
      <c r="A46" s="98">
        <v>42</v>
      </c>
      <c r="B46" s="176"/>
      <c r="C46" s="194"/>
      <c r="D46" s="592"/>
      <c r="E46" s="311" t="s">
        <v>1316</v>
      </c>
      <c r="F46" s="248" t="s">
        <v>1317</v>
      </c>
      <c r="G46" s="96" t="s">
        <v>1326</v>
      </c>
    </row>
    <row r="47" spans="1:11" ht="19.5" customHeight="1">
      <c r="A47" s="98">
        <v>43</v>
      </c>
      <c r="B47" s="176"/>
      <c r="C47" s="190"/>
      <c r="D47" s="97"/>
      <c r="E47" s="449" t="s">
        <v>1029</v>
      </c>
      <c r="F47" s="96" t="s">
        <v>1030</v>
      </c>
      <c r="G47" s="96">
        <v>40464</v>
      </c>
    </row>
    <row r="48" spans="1:11" ht="19.5" customHeight="1">
      <c r="A48" s="98">
        <v>44</v>
      </c>
      <c r="B48" s="176"/>
      <c r="C48" s="190"/>
      <c r="D48" s="446"/>
      <c r="E48" s="449" t="s">
        <v>1247</v>
      </c>
      <c r="F48" s="96" t="s">
        <v>1248</v>
      </c>
      <c r="G48" s="96">
        <v>40546</v>
      </c>
    </row>
    <row r="49" spans="1:10" ht="19.5" customHeight="1" thickBot="1">
      <c r="A49" s="90">
        <v>45</v>
      </c>
      <c r="B49" s="309"/>
      <c r="C49" s="296"/>
      <c r="D49" s="447"/>
      <c r="E49" s="651"/>
      <c r="F49" s="652"/>
      <c r="G49" s="333"/>
      <c r="J49" t="s">
        <v>12</v>
      </c>
    </row>
    <row r="50" spans="1:10" ht="19.5" customHeight="1" thickBot="1">
      <c r="A50" s="110" t="s">
        <v>10</v>
      </c>
      <c r="B50" s="227"/>
      <c r="C50" s="112"/>
      <c r="D50" s="674" t="s">
        <v>897</v>
      </c>
      <c r="E50" s="675"/>
      <c r="F50" s="676" t="s">
        <v>11</v>
      </c>
      <c r="G50" s="677"/>
    </row>
    <row r="51" spans="1:10" ht="19.5" customHeight="1">
      <c r="A51" s="678"/>
      <c r="B51" s="679"/>
      <c r="C51" s="679"/>
      <c r="D51" s="679"/>
      <c r="E51" s="679"/>
      <c r="F51" s="679"/>
      <c r="G51" s="680"/>
    </row>
    <row r="52" spans="1:10" ht="19.5" customHeight="1" thickBot="1">
      <c r="A52" s="681"/>
      <c r="B52" s="682"/>
      <c r="C52" s="682"/>
      <c r="D52" s="682"/>
      <c r="E52" s="682"/>
      <c r="F52" s="682"/>
      <c r="G52" s="683"/>
    </row>
  </sheetData>
  <sortState xmlns:xlrd2="http://schemas.microsoft.com/office/spreadsheetml/2017/richdata2" ref="E6:G49">
    <sortCondition ref="E5:E49"/>
  </sortState>
  <mergeCells count="11">
    <mergeCell ref="D50:E50"/>
    <mergeCell ref="F50:G50"/>
    <mergeCell ref="A51:G52"/>
    <mergeCell ref="A1:D1"/>
    <mergeCell ref="E1:G1"/>
    <mergeCell ref="A2:G2"/>
    <mergeCell ref="A3:A4"/>
    <mergeCell ref="B3:B4"/>
    <mergeCell ref="C3:D3"/>
    <mergeCell ref="F3:F4"/>
    <mergeCell ref="G3:G4"/>
  </mergeCells>
  <phoneticPr fontId="21" type="noConversion"/>
  <conditionalFormatting sqref="E6:E9 E11 E13:E17 E38">
    <cfRule type="cellIs" dxfId="45" priority="4" stopIfTrue="1" operator="between">
      <formula>1</formula>
      <formula>3.9</formula>
    </cfRule>
  </conditionalFormatting>
  <conditionalFormatting sqref="E19:E26">
    <cfRule type="cellIs" dxfId="44" priority="1" stopIfTrue="1" operator="between">
      <formula>1</formula>
      <formula>3.9</formula>
    </cfRule>
  </conditionalFormatting>
  <conditionalFormatting sqref="E28:E35">
    <cfRule type="cellIs" dxfId="43" priority="3" stopIfTrue="1" operator="between">
      <formula>1</formula>
      <formula>3.9</formula>
    </cfRule>
  </conditionalFormatting>
  <conditionalFormatting sqref="E45:E46">
    <cfRule type="cellIs" dxfId="42" priority="2" stopIfTrue="1" operator="between">
      <formula>1</formula>
      <formula>3.9</formula>
    </cfRule>
  </conditionalFormatting>
  <pageMargins left="0.7" right="0.7" top="0.75" bottom="0.75" header="0.3" footer="0.3"/>
  <pageSetup paperSize="5" scale="72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734A-78EE-4B38-859A-8747914A7AE8}">
  <sheetPr>
    <pageSetUpPr fitToPage="1"/>
  </sheetPr>
  <dimension ref="A1:M52"/>
  <sheetViews>
    <sheetView showGridLines="0" topLeftCell="A37" zoomScaleNormal="100" workbookViewId="0">
      <selection activeCell="E7" sqref="E7"/>
    </sheetView>
  </sheetViews>
  <sheetFormatPr baseColWidth="10" defaultColWidth="12.5703125" defaultRowHeight="15" customHeight="1"/>
  <cols>
    <col min="1" max="2" width="5.7109375" customWidth="1"/>
    <col min="3" max="3" width="10.7109375" customWidth="1"/>
    <col min="4" max="4" width="14.28515625" customWidth="1"/>
    <col min="5" max="5" width="60.7109375" customWidth="1"/>
    <col min="6" max="7" width="14.7109375" customWidth="1"/>
    <col min="8" max="8" width="7.28515625" customWidth="1"/>
    <col min="9" max="13" width="11.42578125" customWidth="1"/>
    <col min="14" max="26" width="10.5703125" customWidth="1"/>
  </cols>
  <sheetData>
    <row r="1" spans="1:13" ht="72.75" customHeight="1" thickBot="1">
      <c r="A1" s="684"/>
      <c r="B1" s="685"/>
      <c r="C1" s="685"/>
      <c r="D1" s="685"/>
      <c r="E1" s="686" t="s">
        <v>0</v>
      </c>
      <c r="F1" s="685"/>
      <c r="G1" s="687"/>
      <c r="H1" s="1"/>
      <c r="I1" s="2"/>
      <c r="J1" s="2"/>
      <c r="K1" s="2"/>
      <c r="L1" s="2"/>
      <c r="M1" s="2"/>
    </row>
    <row r="2" spans="1:13" ht="19.5" customHeight="1" thickBot="1">
      <c r="A2" s="688" t="s">
        <v>1</v>
      </c>
      <c r="B2" s="700"/>
      <c r="C2" s="700"/>
      <c r="D2" s="700"/>
      <c r="E2" s="700"/>
      <c r="F2" s="700"/>
      <c r="G2" s="701"/>
      <c r="I2" s="3"/>
      <c r="J2" s="3"/>
      <c r="K2" s="3"/>
      <c r="L2" s="3"/>
      <c r="M2" s="3" t="s">
        <v>12</v>
      </c>
    </row>
    <row r="3" spans="1:13" ht="19.5" customHeight="1" thickBot="1">
      <c r="A3" s="702" t="s">
        <v>2</v>
      </c>
      <c r="B3" s="704" t="s">
        <v>3</v>
      </c>
      <c r="C3" s="693" t="s">
        <v>4</v>
      </c>
      <c r="D3" s="677"/>
      <c r="E3" s="120" t="s">
        <v>1842</v>
      </c>
      <c r="F3" s="672" t="s">
        <v>5</v>
      </c>
      <c r="G3" s="691" t="s">
        <v>6</v>
      </c>
      <c r="H3" s="16"/>
      <c r="I3" s="17"/>
      <c r="J3" s="17"/>
      <c r="K3" s="17"/>
      <c r="L3" s="17"/>
      <c r="M3" s="17"/>
    </row>
    <row r="4" spans="1:13" ht="19.5" customHeight="1" thickBot="1">
      <c r="A4" s="703"/>
      <c r="B4" s="705"/>
      <c r="C4" s="126" t="s">
        <v>7</v>
      </c>
      <c r="D4" s="124" t="s">
        <v>8</v>
      </c>
      <c r="E4" s="121" t="s">
        <v>9</v>
      </c>
      <c r="F4" s="699"/>
      <c r="G4" s="673"/>
      <c r="H4" s="18"/>
      <c r="I4" s="17"/>
      <c r="J4" s="17"/>
      <c r="K4" s="17"/>
      <c r="L4" s="17"/>
      <c r="M4" s="17"/>
    </row>
    <row r="5" spans="1:13" ht="19.5" customHeight="1">
      <c r="A5" s="89">
        <v>1</v>
      </c>
      <c r="B5" s="108"/>
      <c r="C5" s="154"/>
      <c r="D5" s="85"/>
      <c r="E5" s="256" t="s">
        <v>1031</v>
      </c>
      <c r="F5" s="257" t="s">
        <v>1032</v>
      </c>
      <c r="G5" s="258">
        <v>40718</v>
      </c>
      <c r="H5" s="8"/>
      <c r="I5" s="13"/>
      <c r="J5" s="13"/>
      <c r="K5" s="13"/>
      <c r="L5" s="13"/>
      <c r="M5" s="13"/>
    </row>
    <row r="6" spans="1:13" ht="19.5" customHeight="1">
      <c r="A6" s="98">
        <v>2</v>
      </c>
      <c r="B6" s="176"/>
      <c r="C6" s="196"/>
      <c r="D6" s="197"/>
      <c r="E6" s="396" t="s">
        <v>1333</v>
      </c>
      <c r="F6" s="266" t="s">
        <v>1334</v>
      </c>
      <c r="G6" s="96">
        <v>45872</v>
      </c>
      <c r="H6" s="8"/>
      <c r="I6" s="9"/>
      <c r="J6" s="14"/>
      <c r="K6" s="14"/>
      <c r="L6" s="14"/>
      <c r="M6" s="14"/>
    </row>
    <row r="7" spans="1:13" ht="19.5" customHeight="1">
      <c r="A7" s="98">
        <v>3</v>
      </c>
      <c r="B7" s="176"/>
      <c r="C7" s="196"/>
      <c r="D7" s="195"/>
      <c r="E7" s="198" t="s">
        <v>1033</v>
      </c>
      <c r="F7" s="259" t="s">
        <v>1034</v>
      </c>
      <c r="G7" s="192">
        <v>40672</v>
      </c>
      <c r="H7" s="8"/>
      <c r="I7" s="14"/>
      <c r="J7" s="14"/>
      <c r="K7" s="14"/>
      <c r="L7" s="14"/>
      <c r="M7" s="14"/>
    </row>
    <row r="8" spans="1:13" ht="19.5" customHeight="1">
      <c r="A8" s="98">
        <v>4</v>
      </c>
      <c r="B8" s="176"/>
      <c r="C8" s="196"/>
      <c r="D8" s="197"/>
      <c r="E8" s="255" t="s">
        <v>1035</v>
      </c>
      <c r="F8" s="260" t="s">
        <v>1036</v>
      </c>
      <c r="G8" s="192">
        <v>40558</v>
      </c>
      <c r="H8" s="8"/>
      <c r="I8" s="9"/>
      <c r="J8" s="9"/>
      <c r="K8" s="9"/>
      <c r="L8" s="9"/>
      <c r="M8" s="9"/>
    </row>
    <row r="9" spans="1:13" ht="19.5" customHeight="1">
      <c r="A9" s="98">
        <v>5</v>
      </c>
      <c r="B9" s="176"/>
      <c r="C9" s="196"/>
      <c r="D9" s="195"/>
      <c r="E9" s="287" t="s">
        <v>1037</v>
      </c>
      <c r="F9" s="288" t="s">
        <v>1038</v>
      </c>
      <c r="G9" s="186">
        <v>40406</v>
      </c>
      <c r="H9" s="8"/>
      <c r="I9" s="14"/>
      <c r="J9" s="14"/>
      <c r="K9" s="14"/>
      <c r="L9" s="14"/>
      <c r="M9" s="14"/>
    </row>
    <row r="10" spans="1:13" ht="19.5" customHeight="1">
      <c r="A10" s="98">
        <v>6</v>
      </c>
      <c r="B10" s="176"/>
      <c r="C10" s="196"/>
      <c r="D10" s="200"/>
      <c r="E10" s="255" t="s">
        <v>1039</v>
      </c>
      <c r="F10" s="266" t="s">
        <v>1040</v>
      </c>
      <c r="G10" s="96">
        <v>40630</v>
      </c>
      <c r="H10" s="8"/>
      <c r="I10" s="14"/>
      <c r="J10" s="14"/>
      <c r="K10" s="14"/>
      <c r="L10" s="14"/>
      <c r="M10" s="14"/>
    </row>
    <row r="11" spans="1:13" ht="19.5" customHeight="1">
      <c r="A11" s="98">
        <v>7</v>
      </c>
      <c r="B11" s="176"/>
      <c r="C11" s="196"/>
      <c r="D11" s="195"/>
      <c r="E11" s="198" t="s">
        <v>1041</v>
      </c>
      <c r="F11" s="259" t="s">
        <v>1042</v>
      </c>
      <c r="G11" s="192">
        <v>40477</v>
      </c>
      <c r="H11" s="8"/>
      <c r="I11" s="14"/>
      <c r="J11" s="14"/>
      <c r="K11" s="14"/>
      <c r="L11" s="14"/>
      <c r="M11" s="14"/>
    </row>
    <row r="12" spans="1:13" ht="19.5" customHeight="1">
      <c r="A12" s="98">
        <v>8</v>
      </c>
      <c r="B12" s="176"/>
      <c r="C12" s="196"/>
      <c r="D12" s="197"/>
      <c r="E12" s="199" t="s">
        <v>1043</v>
      </c>
      <c r="F12" s="261" t="s">
        <v>1044</v>
      </c>
      <c r="G12" s="192">
        <v>40376</v>
      </c>
      <c r="H12" s="8"/>
      <c r="I12" s="14"/>
      <c r="J12" s="14" t="s">
        <v>12</v>
      </c>
      <c r="K12" s="14"/>
      <c r="L12" s="14"/>
      <c r="M12" s="14"/>
    </row>
    <row r="13" spans="1:13" ht="19.5" customHeight="1">
      <c r="A13" s="98">
        <v>9</v>
      </c>
      <c r="B13" s="176"/>
      <c r="C13" s="196"/>
      <c r="D13" s="197"/>
      <c r="E13" s="311" t="s">
        <v>1237</v>
      </c>
      <c r="F13" s="312" t="s">
        <v>1053</v>
      </c>
      <c r="G13" s="96">
        <v>40278</v>
      </c>
      <c r="H13" s="8"/>
      <c r="I13" s="14"/>
      <c r="J13" s="14"/>
      <c r="K13" s="14"/>
      <c r="L13" s="14"/>
      <c r="M13" s="14"/>
    </row>
    <row r="14" spans="1:13" ht="19.5" customHeight="1">
      <c r="A14" s="98">
        <v>10</v>
      </c>
      <c r="B14" s="176"/>
      <c r="C14" s="196"/>
      <c r="D14" s="197"/>
      <c r="E14" s="199" t="s">
        <v>1045</v>
      </c>
      <c r="F14" s="261" t="s">
        <v>1046</v>
      </c>
      <c r="G14" s="192">
        <v>40327</v>
      </c>
      <c r="H14" s="8"/>
      <c r="I14" s="14"/>
      <c r="J14" s="14"/>
      <c r="K14" s="14"/>
      <c r="L14" s="14"/>
      <c r="M14" s="14"/>
    </row>
    <row r="15" spans="1:13" ht="19.5" customHeight="1">
      <c r="A15" s="98">
        <v>11</v>
      </c>
      <c r="B15" s="176"/>
      <c r="C15" s="196"/>
      <c r="D15" s="195"/>
      <c r="E15" s="290" t="s">
        <v>1303</v>
      </c>
      <c r="F15" s="262" t="s">
        <v>1304</v>
      </c>
      <c r="G15" s="275">
        <v>40505</v>
      </c>
      <c r="H15" s="8"/>
      <c r="I15" s="14"/>
      <c r="J15" s="14"/>
      <c r="K15" s="14"/>
      <c r="L15" s="14"/>
      <c r="M15" s="14"/>
    </row>
    <row r="16" spans="1:13" ht="19.5" customHeight="1">
      <c r="A16" s="98">
        <v>12</v>
      </c>
      <c r="B16" s="176"/>
      <c r="C16" s="196"/>
      <c r="D16" s="196"/>
      <c r="E16" s="199" t="s">
        <v>1047</v>
      </c>
      <c r="F16" s="261" t="s">
        <v>1048</v>
      </c>
      <c r="G16" s="192">
        <v>40296</v>
      </c>
      <c r="H16" s="8"/>
      <c r="I16" s="14"/>
      <c r="J16" s="14"/>
      <c r="K16" s="14"/>
      <c r="L16" s="14"/>
      <c r="M16" s="14"/>
    </row>
    <row r="17" spans="1:7" ht="19.5" customHeight="1">
      <c r="A17" s="98">
        <v>13</v>
      </c>
      <c r="B17" s="176"/>
      <c r="C17" s="196"/>
      <c r="D17" s="196"/>
      <c r="E17" s="198" t="s">
        <v>1049</v>
      </c>
      <c r="F17" s="259" t="s">
        <v>1050</v>
      </c>
      <c r="G17" s="202">
        <v>40591</v>
      </c>
    </row>
    <row r="18" spans="1:7" ht="19.5" customHeight="1">
      <c r="A18" s="98">
        <v>14</v>
      </c>
      <c r="B18" s="176"/>
      <c r="C18" s="196"/>
      <c r="D18" s="195"/>
      <c r="E18" s="263" t="s">
        <v>1051</v>
      </c>
      <c r="F18" s="264" t="s">
        <v>1052</v>
      </c>
      <c r="G18" s="186">
        <v>40670</v>
      </c>
    </row>
    <row r="19" spans="1:7" ht="19.5" customHeight="1">
      <c r="A19" s="98">
        <v>15</v>
      </c>
      <c r="B19" s="176"/>
      <c r="C19" s="196"/>
      <c r="D19" s="197"/>
      <c r="E19" s="199" t="s">
        <v>1270</v>
      </c>
      <c r="F19" s="261" t="s">
        <v>1271</v>
      </c>
      <c r="G19" s="192">
        <v>40588</v>
      </c>
    </row>
    <row r="20" spans="1:7" ht="19.5" customHeight="1">
      <c r="A20" s="98">
        <v>16</v>
      </c>
      <c r="B20" s="176"/>
      <c r="C20" s="196"/>
      <c r="D20" s="195"/>
      <c r="E20" s="198" t="s">
        <v>1054</v>
      </c>
      <c r="F20" s="259" t="s">
        <v>1055</v>
      </c>
      <c r="G20" s="192">
        <v>40467</v>
      </c>
    </row>
    <row r="21" spans="1:7" ht="19.5" customHeight="1">
      <c r="A21" s="98">
        <v>17</v>
      </c>
      <c r="B21" s="176"/>
      <c r="C21" s="196"/>
      <c r="D21" s="195"/>
      <c r="E21" s="198" t="s">
        <v>1056</v>
      </c>
      <c r="F21" s="259" t="s">
        <v>1057</v>
      </c>
      <c r="G21" s="192">
        <v>40441</v>
      </c>
    </row>
    <row r="22" spans="1:7" ht="19.5" customHeight="1">
      <c r="A22" s="98">
        <v>18</v>
      </c>
      <c r="B22" s="176"/>
      <c r="C22" s="196"/>
      <c r="D22" s="197"/>
      <c r="E22" s="198" t="s">
        <v>1058</v>
      </c>
      <c r="F22" s="259" t="s">
        <v>1059</v>
      </c>
      <c r="G22" s="192">
        <v>40407</v>
      </c>
    </row>
    <row r="23" spans="1:7" ht="19.5" customHeight="1">
      <c r="A23" s="98">
        <v>19</v>
      </c>
      <c r="B23" s="176"/>
      <c r="C23" s="196"/>
      <c r="D23" s="197"/>
      <c r="E23" s="255" t="s">
        <v>1299</v>
      </c>
      <c r="F23" s="266" t="s">
        <v>1300</v>
      </c>
      <c r="G23" s="96">
        <v>40609</v>
      </c>
    </row>
    <row r="24" spans="1:7" ht="19.5" customHeight="1">
      <c r="A24" s="98">
        <v>20</v>
      </c>
      <c r="B24" s="176"/>
      <c r="C24" s="196"/>
      <c r="D24" s="195"/>
      <c r="E24" s="198" t="s">
        <v>1273</v>
      </c>
      <c r="F24" s="259" t="s">
        <v>1272</v>
      </c>
      <c r="G24" s="192">
        <v>40207</v>
      </c>
    </row>
    <row r="25" spans="1:7" ht="19.5" customHeight="1">
      <c r="A25" s="98">
        <v>21</v>
      </c>
      <c r="B25" s="176"/>
      <c r="C25" s="196"/>
      <c r="D25" s="197"/>
      <c r="E25" s="199" t="s">
        <v>1060</v>
      </c>
      <c r="F25" s="261" t="s">
        <v>1061</v>
      </c>
      <c r="G25" s="192">
        <v>40440</v>
      </c>
    </row>
    <row r="26" spans="1:7" ht="19.5" customHeight="1">
      <c r="A26" s="98">
        <v>22</v>
      </c>
      <c r="B26" s="176"/>
      <c r="C26" s="196"/>
      <c r="D26" s="195"/>
      <c r="E26" s="198" t="s">
        <v>1062</v>
      </c>
      <c r="F26" s="259" t="s">
        <v>1063</v>
      </c>
      <c r="G26" s="192">
        <v>40499</v>
      </c>
    </row>
    <row r="27" spans="1:7" ht="19.5" customHeight="1">
      <c r="A27" s="98">
        <v>23</v>
      </c>
      <c r="B27" s="176"/>
      <c r="C27" s="196"/>
      <c r="D27" s="197"/>
      <c r="E27" s="198" t="s">
        <v>1064</v>
      </c>
      <c r="F27" s="259" t="s">
        <v>1065</v>
      </c>
      <c r="G27" s="192">
        <v>40422</v>
      </c>
    </row>
    <row r="28" spans="1:7" ht="19.5" customHeight="1">
      <c r="A28" s="98">
        <v>24</v>
      </c>
      <c r="B28" s="176"/>
      <c r="C28" s="196"/>
      <c r="D28" s="195"/>
      <c r="E28" s="263" t="s">
        <v>1066</v>
      </c>
      <c r="F28" s="264" t="s">
        <v>1067</v>
      </c>
      <c r="G28" s="186">
        <v>40680</v>
      </c>
    </row>
    <row r="29" spans="1:7" ht="19.5" customHeight="1">
      <c r="A29" s="98">
        <v>25</v>
      </c>
      <c r="B29" s="176"/>
      <c r="C29" s="196"/>
      <c r="D29" s="197"/>
      <c r="E29" s="198" t="s">
        <v>1068</v>
      </c>
      <c r="F29" s="259" t="s">
        <v>1069</v>
      </c>
      <c r="G29" s="192">
        <v>40456</v>
      </c>
    </row>
    <row r="30" spans="1:7" ht="19.5" customHeight="1">
      <c r="A30" s="98">
        <v>26</v>
      </c>
      <c r="B30" s="176"/>
      <c r="C30" s="196"/>
      <c r="D30" s="195"/>
      <c r="E30" s="198" t="s">
        <v>1070</v>
      </c>
      <c r="F30" s="259" t="s">
        <v>1071</v>
      </c>
      <c r="G30" s="192">
        <v>40469</v>
      </c>
    </row>
    <row r="31" spans="1:7" ht="19.5" customHeight="1">
      <c r="A31" s="98">
        <v>27</v>
      </c>
      <c r="B31" s="176"/>
      <c r="C31" s="196"/>
      <c r="D31" s="195"/>
      <c r="E31" s="201" t="s">
        <v>1072</v>
      </c>
      <c r="F31" s="267" t="s">
        <v>1073</v>
      </c>
      <c r="G31" s="192">
        <v>40472</v>
      </c>
    </row>
    <row r="32" spans="1:7" ht="19.5" customHeight="1">
      <c r="A32" s="98">
        <v>28</v>
      </c>
      <c r="B32" s="176"/>
      <c r="C32" s="196"/>
      <c r="D32" s="197"/>
      <c r="E32" s="198" t="s">
        <v>1074</v>
      </c>
      <c r="F32" s="259" t="s">
        <v>1075</v>
      </c>
      <c r="G32" s="192">
        <v>40630</v>
      </c>
    </row>
    <row r="33" spans="1:11" ht="19.5" customHeight="1">
      <c r="A33" s="98">
        <v>29</v>
      </c>
      <c r="B33" s="176"/>
      <c r="C33" s="196"/>
      <c r="D33" s="195"/>
      <c r="E33" s="199" t="s">
        <v>1076</v>
      </c>
      <c r="F33" s="261" t="s">
        <v>1077</v>
      </c>
      <c r="G33" s="192">
        <v>40541</v>
      </c>
    </row>
    <row r="34" spans="1:11" ht="19.5" customHeight="1">
      <c r="A34" s="98">
        <v>30</v>
      </c>
      <c r="B34" s="176"/>
      <c r="C34" s="196"/>
      <c r="D34" s="195"/>
      <c r="E34" s="199" t="s">
        <v>1078</v>
      </c>
      <c r="F34" s="261" t="s">
        <v>1079</v>
      </c>
      <c r="G34" s="192">
        <v>40635</v>
      </c>
    </row>
    <row r="35" spans="1:11" ht="19.5" customHeight="1">
      <c r="A35" s="98">
        <v>31</v>
      </c>
      <c r="B35" s="176"/>
      <c r="C35" s="196"/>
      <c r="D35" s="195"/>
      <c r="E35" s="199" t="s">
        <v>1080</v>
      </c>
      <c r="F35" s="261" t="s">
        <v>1081</v>
      </c>
      <c r="G35" s="192">
        <v>40531</v>
      </c>
    </row>
    <row r="36" spans="1:11" ht="19.5" customHeight="1">
      <c r="A36" s="98">
        <v>32</v>
      </c>
      <c r="B36" s="176"/>
      <c r="C36" s="196"/>
      <c r="D36" s="197"/>
      <c r="E36" s="199" t="s">
        <v>1082</v>
      </c>
      <c r="F36" s="261" t="s">
        <v>1083</v>
      </c>
      <c r="G36" s="192">
        <v>40496</v>
      </c>
    </row>
    <row r="37" spans="1:11" ht="19.5" customHeight="1">
      <c r="A37" s="98">
        <v>33</v>
      </c>
      <c r="B37" s="176"/>
      <c r="C37" s="190"/>
      <c r="D37" s="195"/>
      <c r="E37" s="199" t="s">
        <v>1084</v>
      </c>
      <c r="F37" s="261" t="s">
        <v>1085</v>
      </c>
      <c r="G37" s="192">
        <v>40384</v>
      </c>
    </row>
    <row r="38" spans="1:11" ht="19.5" customHeight="1">
      <c r="A38" s="98">
        <v>34</v>
      </c>
      <c r="B38" s="176"/>
      <c r="C38" s="190"/>
      <c r="D38" s="195"/>
      <c r="E38" s="287" t="s">
        <v>1086</v>
      </c>
      <c r="F38" s="288" t="s">
        <v>1087</v>
      </c>
      <c r="G38" s="186">
        <v>40365</v>
      </c>
    </row>
    <row r="39" spans="1:11" ht="19.5" customHeight="1">
      <c r="A39" s="98">
        <v>35</v>
      </c>
      <c r="B39" s="176"/>
      <c r="C39" s="190"/>
      <c r="D39" s="195"/>
      <c r="E39" s="396" t="s">
        <v>1318</v>
      </c>
      <c r="F39" s="266" t="s">
        <v>1319</v>
      </c>
      <c r="G39" s="96" t="s">
        <v>1320</v>
      </c>
    </row>
    <row r="40" spans="1:11" ht="19.5" customHeight="1">
      <c r="A40" s="98">
        <v>36</v>
      </c>
      <c r="B40" s="176"/>
      <c r="C40" s="190"/>
      <c r="D40" s="195"/>
      <c r="E40" s="199" t="s">
        <v>1088</v>
      </c>
      <c r="F40" s="261" t="s">
        <v>1089</v>
      </c>
      <c r="G40" s="192">
        <v>40528</v>
      </c>
    </row>
    <row r="41" spans="1:11" ht="19.5" customHeight="1">
      <c r="A41" s="98">
        <v>37</v>
      </c>
      <c r="B41" s="176"/>
      <c r="C41" s="190"/>
      <c r="D41" s="195"/>
      <c r="E41" s="199" t="s">
        <v>1090</v>
      </c>
      <c r="F41" s="261" t="s">
        <v>1091</v>
      </c>
      <c r="G41" s="192">
        <v>40656</v>
      </c>
    </row>
    <row r="42" spans="1:11" ht="19.5" customHeight="1">
      <c r="A42" s="98">
        <v>38</v>
      </c>
      <c r="B42" s="176"/>
      <c r="C42" s="190"/>
      <c r="D42" s="195"/>
      <c r="E42" s="199" t="s">
        <v>1092</v>
      </c>
      <c r="F42" s="261" t="s">
        <v>1093</v>
      </c>
      <c r="G42" s="192">
        <v>40555</v>
      </c>
    </row>
    <row r="43" spans="1:11" ht="19.5" customHeight="1">
      <c r="A43" s="98">
        <v>39</v>
      </c>
      <c r="B43" s="176"/>
      <c r="C43" s="190"/>
      <c r="D43" s="195"/>
      <c r="E43" s="198" t="s">
        <v>1094</v>
      </c>
      <c r="F43" s="259" t="s">
        <v>1095</v>
      </c>
      <c r="G43" s="192">
        <v>40606</v>
      </c>
    </row>
    <row r="44" spans="1:11" ht="19.5" customHeight="1">
      <c r="A44" s="98">
        <v>40</v>
      </c>
      <c r="B44" s="176"/>
      <c r="C44" s="190"/>
      <c r="D44" s="195"/>
      <c r="E44" s="199" t="s">
        <v>1096</v>
      </c>
      <c r="F44" s="261" t="s">
        <v>1097</v>
      </c>
      <c r="G44" s="192">
        <v>40561</v>
      </c>
    </row>
    <row r="45" spans="1:11" ht="19.5" customHeight="1">
      <c r="A45" s="98">
        <v>41</v>
      </c>
      <c r="B45" s="176"/>
      <c r="C45" s="190"/>
      <c r="D45" s="195"/>
      <c r="E45" s="255" t="s">
        <v>1098</v>
      </c>
      <c r="F45" s="266" t="s">
        <v>1099</v>
      </c>
      <c r="G45" s="96">
        <v>40626</v>
      </c>
    </row>
    <row r="46" spans="1:11" ht="19.5" customHeight="1">
      <c r="A46" s="98">
        <v>42</v>
      </c>
      <c r="B46" s="176"/>
      <c r="C46" s="190"/>
      <c r="D46" s="195"/>
      <c r="E46" s="198" t="s">
        <v>1100</v>
      </c>
      <c r="F46" s="259" t="s">
        <v>1101</v>
      </c>
      <c r="G46" s="192">
        <v>40634</v>
      </c>
      <c r="I46" s="318"/>
      <c r="J46" s="318"/>
      <c r="K46" s="318"/>
    </row>
    <row r="47" spans="1:11" ht="19.5" customHeight="1">
      <c r="A47" s="98">
        <v>43</v>
      </c>
      <c r="B47" s="176"/>
      <c r="C47" s="190"/>
      <c r="D47" s="195"/>
      <c r="E47" s="201" t="s">
        <v>1102</v>
      </c>
      <c r="F47" s="267" t="s">
        <v>1103</v>
      </c>
      <c r="G47" s="192">
        <v>40601</v>
      </c>
      <c r="I47" s="318"/>
      <c r="J47" s="318"/>
      <c r="K47" s="318"/>
    </row>
    <row r="48" spans="1:11" ht="19.5" customHeight="1">
      <c r="A48" s="98">
        <v>44</v>
      </c>
      <c r="B48" s="176"/>
      <c r="C48" s="190"/>
      <c r="D48" s="221"/>
      <c r="E48" s="297" t="s">
        <v>1265</v>
      </c>
      <c r="F48" s="298" t="s">
        <v>1266</v>
      </c>
      <c r="G48" s="299" t="s">
        <v>1267</v>
      </c>
      <c r="I48" s="269"/>
      <c r="J48" s="262"/>
      <c r="K48" s="265"/>
    </row>
    <row r="49" spans="1:7" ht="19.5" customHeight="1" thickBot="1">
      <c r="A49" s="90">
        <v>45</v>
      </c>
      <c r="B49" s="309"/>
      <c r="C49" s="296"/>
      <c r="D49" s="236"/>
      <c r="E49" s="466" t="s">
        <v>1104</v>
      </c>
      <c r="F49" s="467" t="s">
        <v>1105</v>
      </c>
      <c r="G49" s="333">
        <v>40589</v>
      </c>
    </row>
    <row r="50" spans="1:7" ht="19.5" customHeight="1" thickBot="1">
      <c r="A50" s="155" t="s">
        <v>10</v>
      </c>
      <c r="B50" s="167"/>
      <c r="C50" s="294"/>
      <c r="D50" s="694" t="s">
        <v>898</v>
      </c>
      <c r="E50" s="695"/>
      <c r="F50" s="696" t="s">
        <v>11</v>
      </c>
      <c r="G50" s="697"/>
    </row>
    <row r="51" spans="1:7" ht="19.5" customHeight="1">
      <c r="A51" s="678"/>
      <c r="B51" s="679"/>
      <c r="C51" s="679"/>
      <c r="D51" s="679"/>
      <c r="E51" s="679"/>
      <c r="F51" s="679"/>
      <c r="G51" s="680"/>
    </row>
    <row r="52" spans="1:7" ht="19.5" customHeight="1" thickBot="1">
      <c r="A52" s="698"/>
      <c r="B52" s="682"/>
      <c r="C52" s="682"/>
      <c r="D52" s="682"/>
      <c r="E52" s="682"/>
      <c r="F52" s="682"/>
      <c r="G52" s="683"/>
    </row>
  </sheetData>
  <sortState xmlns:xlrd2="http://schemas.microsoft.com/office/spreadsheetml/2017/richdata2" ref="E6:G49">
    <sortCondition ref="E5:E49"/>
  </sortState>
  <mergeCells count="11">
    <mergeCell ref="D50:E50"/>
    <mergeCell ref="F50:G50"/>
    <mergeCell ref="A51:G52"/>
    <mergeCell ref="A1:D1"/>
    <mergeCell ref="E1:G1"/>
    <mergeCell ref="A2:G2"/>
    <mergeCell ref="A3:A4"/>
    <mergeCell ref="B3:B4"/>
    <mergeCell ref="C3:D3"/>
    <mergeCell ref="F3:F4"/>
    <mergeCell ref="G3:G4"/>
  </mergeCells>
  <phoneticPr fontId="21" type="noConversion"/>
  <conditionalFormatting sqref="E5:E8 E10:E13 E16:E17 E19:E27 E29:E35">
    <cfRule type="cellIs" dxfId="41" priority="2" stopIfTrue="1" operator="between">
      <formula>1</formula>
      <formula>3.9</formula>
    </cfRule>
  </conditionalFormatting>
  <pageMargins left="0.7" right="0.7" top="0.75" bottom="0.75" header="0.3" footer="0.3"/>
  <pageSetup paperSize="9" scale="69" orientation="portrait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7A5D-CC65-48BC-ACCB-DE5643357BC1}">
  <sheetPr>
    <pageSetUpPr fitToPage="1"/>
  </sheetPr>
  <dimension ref="A1:L52"/>
  <sheetViews>
    <sheetView showGridLines="0" topLeftCell="A39" zoomScaleNormal="100" workbookViewId="0">
      <selection activeCell="K7" sqref="K7"/>
    </sheetView>
  </sheetViews>
  <sheetFormatPr baseColWidth="10" defaultColWidth="12.5703125" defaultRowHeight="15" customHeight="1"/>
  <cols>
    <col min="1" max="2" width="5.7109375" customWidth="1"/>
    <col min="3" max="3" width="10.7109375" customWidth="1"/>
    <col min="4" max="4" width="14.28515625" customWidth="1"/>
    <col min="5" max="5" width="60.7109375" customWidth="1"/>
    <col min="6" max="7" width="14.7109375" customWidth="1"/>
    <col min="8" max="8" width="7.28515625" customWidth="1"/>
    <col min="9" max="11" width="11.42578125" customWidth="1"/>
    <col min="12" max="26" width="10.5703125" customWidth="1"/>
  </cols>
  <sheetData>
    <row r="1" spans="1:10" ht="72.75" customHeight="1" thickBot="1">
      <c r="A1" s="684"/>
      <c r="B1" s="685"/>
      <c r="C1" s="685"/>
      <c r="D1" s="685"/>
      <c r="E1" s="686" t="s">
        <v>0</v>
      </c>
      <c r="F1" s="685"/>
      <c r="G1" s="687"/>
    </row>
    <row r="2" spans="1:10" ht="19.5" customHeight="1" thickBot="1">
      <c r="A2" s="688" t="s">
        <v>1</v>
      </c>
      <c r="B2" s="700"/>
      <c r="C2" s="700"/>
      <c r="D2" s="700"/>
      <c r="E2" s="700"/>
      <c r="F2" s="700"/>
      <c r="G2" s="701"/>
    </row>
    <row r="3" spans="1:10" ht="19.5" customHeight="1">
      <c r="A3" s="691" t="s">
        <v>2</v>
      </c>
      <c r="B3" s="691" t="s">
        <v>3</v>
      </c>
      <c r="C3" s="713" t="s">
        <v>4</v>
      </c>
      <c r="D3" s="714"/>
      <c r="E3" s="4" t="s">
        <v>1843</v>
      </c>
      <c r="F3" s="691" t="s">
        <v>5</v>
      </c>
      <c r="G3" s="691" t="s">
        <v>6</v>
      </c>
    </row>
    <row r="4" spans="1:10" ht="19.5" customHeight="1" thickBot="1">
      <c r="A4" s="712"/>
      <c r="B4" s="673"/>
      <c r="C4" s="5" t="s">
        <v>7</v>
      </c>
      <c r="D4" s="5" t="s">
        <v>8</v>
      </c>
      <c r="E4" s="5" t="s">
        <v>9</v>
      </c>
      <c r="F4" s="673"/>
      <c r="G4" s="673"/>
      <c r="J4" t="s">
        <v>12</v>
      </c>
    </row>
    <row r="5" spans="1:10" ht="19.5" customHeight="1">
      <c r="A5" s="114">
        <v>1</v>
      </c>
      <c r="B5" s="91"/>
      <c r="C5" s="87"/>
      <c r="D5" s="20"/>
      <c r="E5" s="268" t="s">
        <v>1106</v>
      </c>
      <c r="F5" s="258" t="s">
        <v>1107</v>
      </c>
      <c r="G5" s="258">
        <v>40617</v>
      </c>
    </row>
    <row r="6" spans="1:10" ht="19.5" customHeight="1">
      <c r="A6" s="115">
        <v>2</v>
      </c>
      <c r="B6" s="93"/>
      <c r="C6" s="88"/>
      <c r="D6" s="15"/>
      <c r="E6" s="269" t="s">
        <v>1268</v>
      </c>
      <c r="F6" s="185" t="s">
        <v>1269</v>
      </c>
      <c r="G6" s="186">
        <v>40569</v>
      </c>
    </row>
    <row r="7" spans="1:10" ht="19.5" customHeight="1">
      <c r="A7" s="114">
        <v>3</v>
      </c>
      <c r="B7" s="93"/>
      <c r="C7" s="88"/>
      <c r="D7" s="15"/>
      <c r="E7" s="271" t="s">
        <v>1251</v>
      </c>
      <c r="F7" s="172" t="s">
        <v>1252</v>
      </c>
      <c r="G7" s="313">
        <v>40521</v>
      </c>
    </row>
    <row r="8" spans="1:10" ht="19.5" customHeight="1">
      <c r="A8" s="114">
        <v>4</v>
      </c>
      <c r="B8" s="93"/>
      <c r="C8" s="88"/>
      <c r="D8" s="15"/>
      <c r="E8" s="272" t="s">
        <v>1108</v>
      </c>
      <c r="F8" s="179" t="s">
        <v>1109</v>
      </c>
      <c r="G8" s="82">
        <v>40584</v>
      </c>
    </row>
    <row r="9" spans="1:10" ht="19.5" customHeight="1">
      <c r="A9" s="115">
        <v>5</v>
      </c>
      <c r="B9" s="93"/>
      <c r="C9" s="170"/>
      <c r="D9" s="203"/>
      <c r="E9" s="468" t="s">
        <v>1110</v>
      </c>
      <c r="F9" s="314" t="s">
        <v>1111</v>
      </c>
      <c r="G9" s="314">
        <v>40381</v>
      </c>
    </row>
    <row r="10" spans="1:10" ht="19.5" customHeight="1">
      <c r="A10" s="114">
        <v>6</v>
      </c>
      <c r="B10" s="93"/>
      <c r="C10" s="170"/>
      <c r="D10" s="171"/>
      <c r="E10" s="271" t="s">
        <v>1112</v>
      </c>
      <c r="F10" s="82" t="s">
        <v>1113</v>
      </c>
      <c r="G10" s="82">
        <v>40679</v>
      </c>
    </row>
    <row r="11" spans="1:10" ht="19.5" customHeight="1">
      <c r="A11" s="114">
        <v>7</v>
      </c>
      <c r="B11" s="93"/>
      <c r="C11" s="170"/>
      <c r="D11" s="171"/>
      <c r="E11" s="272" t="s">
        <v>1114</v>
      </c>
      <c r="F11" s="273" t="s">
        <v>1115</v>
      </c>
      <c r="G11" s="82">
        <v>40545</v>
      </c>
    </row>
    <row r="12" spans="1:10" ht="19.5" customHeight="1">
      <c r="A12" s="115">
        <v>8</v>
      </c>
      <c r="B12" s="93"/>
      <c r="C12" s="170"/>
      <c r="D12" s="203"/>
      <c r="E12" s="272" t="s">
        <v>1116</v>
      </c>
      <c r="F12" s="179" t="s">
        <v>1117</v>
      </c>
      <c r="G12" s="82">
        <v>40012</v>
      </c>
    </row>
    <row r="13" spans="1:10" ht="19.5" customHeight="1">
      <c r="A13" s="114">
        <v>9</v>
      </c>
      <c r="B13" s="93"/>
      <c r="C13" s="170"/>
      <c r="D13" s="203" t="s">
        <v>1353</v>
      </c>
      <c r="E13" s="535" t="s">
        <v>1390</v>
      </c>
      <c r="F13" s="518" t="s">
        <v>1391</v>
      </c>
      <c r="G13" s="518">
        <v>40436</v>
      </c>
    </row>
    <row r="14" spans="1:10" ht="19.5" customHeight="1">
      <c r="A14" s="114">
        <v>10</v>
      </c>
      <c r="B14" s="93"/>
      <c r="C14" s="170"/>
      <c r="D14" s="204"/>
      <c r="E14" s="271" t="s">
        <v>1118</v>
      </c>
      <c r="F14" s="82" t="s">
        <v>1119</v>
      </c>
      <c r="G14" s="82">
        <v>40628</v>
      </c>
    </row>
    <row r="15" spans="1:10" ht="19.5" customHeight="1">
      <c r="A15" s="115">
        <v>11</v>
      </c>
      <c r="B15" s="93"/>
      <c r="C15" s="170"/>
      <c r="D15" s="203"/>
      <c r="E15" s="271" t="s">
        <v>1120</v>
      </c>
      <c r="F15" s="172" t="s">
        <v>1121</v>
      </c>
      <c r="G15" s="82">
        <v>40634</v>
      </c>
    </row>
    <row r="16" spans="1:10" ht="19.5" customHeight="1">
      <c r="A16" s="114">
        <v>12</v>
      </c>
      <c r="B16" s="93"/>
      <c r="C16" s="170"/>
      <c r="D16" s="171"/>
      <c r="E16" s="269" t="s">
        <v>1122</v>
      </c>
      <c r="F16" s="185" t="s">
        <v>1123</v>
      </c>
      <c r="G16" s="275">
        <v>40626</v>
      </c>
    </row>
    <row r="17" spans="1:12" ht="19.5" customHeight="1">
      <c r="A17" s="114">
        <v>13</v>
      </c>
      <c r="B17" s="93"/>
      <c r="C17" s="170"/>
      <c r="D17" s="171"/>
      <c r="E17" s="272" t="s">
        <v>1124</v>
      </c>
      <c r="F17" s="179" t="s">
        <v>1125</v>
      </c>
      <c r="G17" s="82">
        <v>40653</v>
      </c>
    </row>
    <row r="18" spans="1:12" ht="19.5" customHeight="1">
      <c r="A18" s="115">
        <v>14</v>
      </c>
      <c r="B18" s="93"/>
      <c r="C18" s="170"/>
      <c r="D18" s="203"/>
      <c r="E18" s="271" t="s">
        <v>1126</v>
      </c>
      <c r="F18" s="172" t="s">
        <v>1127</v>
      </c>
      <c r="G18" s="82">
        <v>40262</v>
      </c>
    </row>
    <row r="19" spans="1:12" ht="19.5" customHeight="1">
      <c r="A19" s="114">
        <v>15</v>
      </c>
      <c r="B19" s="93"/>
      <c r="C19" s="643" t="s">
        <v>1896</v>
      </c>
      <c r="D19" s="203" t="s">
        <v>1353</v>
      </c>
      <c r="E19" s="649" t="s">
        <v>1906</v>
      </c>
      <c r="F19" s="599" t="s">
        <v>1907</v>
      </c>
      <c r="G19" s="518">
        <v>39711</v>
      </c>
    </row>
    <row r="20" spans="1:12" ht="19.5" customHeight="1">
      <c r="A20" s="114">
        <v>16</v>
      </c>
      <c r="B20" s="93"/>
      <c r="C20" s="170"/>
      <c r="D20" s="171"/>
      <c r="E20" s="272" t="s">
        <v>1291</v>
      </c>
      <c r="F20" s="179" t="s">
        <v>1292</v>
      </c>
      <c r="G20" s="172">
        <v>40435</v>
      </c>
    </row>
    <row r="21" spans="1:12" ht="19.5" customHeight="1">
      <c r="A21" s="115">
        <v>17</v>
      </c>
      <c r="B21" s="93"/>
      <c r="C21" s="170"/>
      <c r="D21" s="171"/>
      <c r="E21" s="272" t="s">
        <v>1128</v>
      </c>
      <c r="F21" s="179" t="s">
        <v>1129</v>
      </c>
      <c r="G21" s="82">
        <v>40634</v>
      </c>
    </row>
    <row r="22" spans="1:12" ht="19.5" customHeight="1">
      <c r="A22" s="114">
        <v>18</v>
      </c>
      <c r="B22" s="93"/>
      <c r="C22" s="170"/>
      <c r="D22" s="171"/>
      <c r="E22" s="270" t="s">
        <v>1253</v>
      </c>
      <c r="F22" s="186" t="s">
        <v>1254</v>
      </c>
      <c r="G22" s="623">
        <v>40562</v>
      </c>
    </row>
    <row r="23" spans="1:12" ht="19.5" customHeight="1">
      <c r="A23" s="114">
        <v>19</v>
      </c>
      <c r="B23" s="93"/>
      <c r="C23" s="170"/>
      <c r="D23" s="203"/>
      <c r="E23" s="272" t="s">
        <v>1130</v>
      </c>
      <c r="F23" s="179" t="s">
        <v>1131</v>
      </c>
      <c r="G23" s="82">
        <v>40248</v>
      </c>
    </row>
    <row r="24" spans="1:12" ht="19.5" customHeight="1">
      <c r="A24" s="115">
        <v>20</v>
      </c>
      <c r="B24" s="93"/>
      <c r="C24" s="170"/>
      <c r="D24" s="171"/>
      <c r="E24" s="271" t="s">
        <v>1262</v>
      </c>
      <c r="F24" s="172" t="s">
        <v>1132</v>
      </c>
      <c r="G24" s="82">
        <v>40379</v>
      </c>
    </row>
    <row r="25" spans="1:12" ht="19.5" customHeight="1">
      <c r="A25" s="114">
        <v>21</v>
      </c>
      <c r="B25" s="93"/>
      <c r="C25" s="170"/>
      <c r="D25" s="171"/>
      <c r="E25" s="269" t="s">
        <v>1133</v>
      </c>
      <c r="F25" s="185" t="s">
        <v>1134</v>
      </c>
      <c r="G25" s="275">
        <v>40498</v>
      </c>
    </row>
    <row r="26" spans="1:12" ht="19.5" customHeight="1">
      <c r="A26" s="114">
        <v>22</v>
      </c>
      <c r="B26" s="93"/>
      <c r="C26" s="170"/>
      <c r="D26" s="171"/>
      <c r="E26" s="272" t="s">
        <v>1135</v>
      </c>
      <c r="F26" s="179" t="s">
        <v>1136</v>
      </c>
      <c r="G26" s="82">
        <v>40757</v>
      </c>
    </row>
    <row r="27" spans="1:12" ht="19.5" customHeight="1">
      <c r="A27" s="115">
        <v>23</v>
      </c>
      <c r="B27" s="93"/>
      <c r="C27" s="170"/>
      <c r="D27" s="171"/>
      <c r="E27" s="271" t="s">
        <v>1137</v>
      </c>
      <c r="F27" s="172" t="s">
        <v>1138</v>
      </c>
      <c r="G27" s="82">
        <v>40561</v>
      </c>
    </row>
    <row r="28" spans="1:12" ht="19.5" customHeight="1">
      <c r="A28" s="114">
        <v>24</v>
      </c>
      <c r="B28" s="93"/>
      <c r="C28" s="170"/>
      <c r="D28" s="203" t="s">
        <v>1353</v>
      </c>
      <c r="E28" s="535" t="s">
        <v>1870</v>
      </c>
      <c r="F28" s="518" t="s">
        <v>1871</v>
      </c>
      <c r="G28" s="518">
        <v>40487</v>
      </c>
    </row>
    <row r="29" spans="1:12" ht="19.5" customHeight="1">
      <c r="A29" s="114">
        <v>25</v>
      </c>
      <c r="B29" s="93"/>
      <c r="C29" s="170"/>
      <c r="D29" s="171"/>
      <c r="E29" s="272" t="s">
        <v>1139</v>
      </c>
      <c r="F29" s="179" t="s">
        <v>1140</v>
      </c>
      <c r="G29" s="82">
        <v>40605</v>
      </c>
    </row>
    <row r="30" spans="1:12" ht="19.5" customHeight="1">
      <c r="A30" s="115">
        <v>26</v>
      </c>
      <c r="B30" s="93"/>
      <c r="C30" s="170"/>
      <c r="D30" s="171"/>
      <c r="E30" s="271" t="s">
        <v>1141</v>
      </c>
      <c r="F30" s="172" t="s">
        <v>1142</v>
      </c>
      <c r="G30" s="82">
        <v>40620</v>
      </c>
      <c r="L30" t="s">
        <v>12</v>
      </c>
    </row>
    <row r="31" spans="1:12" ht="19.5" customHeight="1">
      <c r="A31" s="114">
        <v>27</v>
      </c>
      <c r="B31" s="93"/>
      <c r="C31" s="170"/>
      <c r="D31" s="171" t="s">
        <v>1353</v>
      </c>
      <c r="E31" s="535" t="s">
        <v>1864</v>
      </c>
      <c r="F31" s="518" t="s">
        <v>1865</v>
      </c>
      <c r="G31" s="518">
        <v>40617</v>
      </c>
    </row>
    <row r="32" spans="1:12" ht="19.5" customHeight="1">
      <c r="A32" s="114">
        <v>28</v>
      </c>
      <c r="B32" s="93"/>
      <c r="C32" s="170"/>
      <c r="D32" s="171"/>
      <c r="E32" s="272" t="s">
        <v>1143</v>
      </c>
      <c r="F32" s="179" t="s">
        <v>1144</v>
      </c>
      <c r="G32" s="82">
        <v>40442</v>
      </c>
    </row>
    <row r="33" spans="1:10" ht="19.5" customHeight="1">
      <c r="A33" s="115">
        <v>29</v>
      </c>
      <c r="B33" s="93"/>
      <c r="C33" s="170"/>
      <c r="D33" s="171"/>
      <c r="E33" s="272" t="s">
        <v>1311</v>
      </c>
      <c r="F33" s="179" t="s">
        <v>1312</v>
      </c>
      <c r="G33" s="172">
        <v>40649</v>
      </c>
      <c r="H33" s="8"/>
      <c r="I33" s="14"/>
    </row>
    <row r="34" spans="1:10" ht="19.5" customHeight="1">
      <c r="A34" s="114">
        <v>30</v>
      </c>
      <c r="B34" s="93"/>
      <c r="C34" s="170"/>
      <c r="D34" s="203"/>
      <c r="E34" s="271" t="s">
        <v>1145</v>
      </c>
      <c r="F34" s="172" t="s">
        <v>1146</v>
      </c>
      <c r="G34" s="82">
        <v>40681</v>
      </c>
      <c r="H34" s="8"/>
      <c r="I34" s="14"/>
    </row>
    <row r="35" spans="1:10" ht="19.5" customHeight="1">
      <c r="A35" s="114">
        <v>31</v>
      </c>
      <c r="B35" s="93"/>
      <c r="C35" s="170"/>
      <c r="D35" s="171"/>
      <c r="E35" s="269" t="s">
        <v>1147</v>
      </c>
      <c r="F35" s="185" t="s">
        <v>1148</v>
      </c>
      <c r="G35" s="275">
        <v>40459</v>
      </c>
      <c r="H35" s="8"/>
      <c r="I35" s="14"/>
    </row>
    <row r="36" spans="1:10" ht="19.5" customHeight="1">
      <c r="A36" s="115">
        <v>32</v>
      </c>
      <c r="B36" s="93"/>
      <c r="C36" s="170"/>
      <c r="D36" s="203"/>
      <c r="E36" s="271" t="s">
        <v>1149</v>
      </c>
      <c r="F36" s="172" t="s">
        <v>1150</v>
      </c>
      <c r="G36" s="82">
        <v>40587</v>
      </c>
      <c r="H36" s="8"/>
      <c r="I36" s="14"/>
    </row>
    <row r="37" spans="1:10" ht="19.5" customHeight="1">
      <c r="A37" s="114">
        <v>33</v>
      </c>
      <c r="B37" s="93"/>
      <c r="C37" s="170"/>
      <c r="D37" s="171"/>
      <c r="E37" s="269" t="s">
        <v>1151</v>
      </c>
      <c r="F37" s="185" t="s">
        <v>1152</v>
      </c>
      <c r="G37" s="275">
        <v>40376</v>
      </c>
      <c r="H37" s="8"/>
      <c r="I37" s="14" t="s">
        <v>12</v>
      </c>
    </row>
    <row r="38" spans="1:10" ht="19.5" customHeight="1">
      <c r="A38" s="114">
        <v>34</v>
      </c>
      <c r="B38" s="93"/>
      <c r="C38" s="205"/>
      <c r="D38" s="587"/>
      <c r="E38" s="272" t="s">
        <v>1153</v>
      </c>
      <c r="F38" s="179" t="s">
        <v>1154</v>
      </c>
      <c r="G38" s="82">
        <v>40218</v>
      </c>
      <c r="H38" s="8"/>
      <c r="I38" s="14"/>
    </row>
    <row r="39" spans="1:10" ht="19.5" customHeight="1">
      <c r="A39" s="115">
        <v>35</v>
      </c>
      <c r="B39" s="93"/>
      <c r="C39" s="207"/>
      <c r="D39" s="171"/>
      <c r="E39" s="536" t="s">
        <v>1155</v>
      </c>
      <c r="F39" s="650" t="s">
        <v>1156</v>
      </c>
      <c r="G39" s="150">
        <v>40330</v>
      </c>
      <c r="H39" s="8"/>
      <c r="I39" s="14"/>
    </row>
    <row r="40" spans="1:10" ht="19.5" customHeight="1">
      <c r="A40" s="114">
        <v>36</v>
      </c>
      <c r="B40" s="93"/>
      <c r="C40" s="207"/>
      <c r="D40" s="171"/>
      <c r="E40" s="270" t="s">
        <v>1157</v>
      </c>
      <c r="F40" s="186" t="s">
        <v>1158</v>
      </c>
      <c r="G40" s="275">
        <v>40570</v>
      </c>
      <c r="H40" s="8"/>
      <c r="I40" s="14"/>
    </row>
    <row r="41" spans="1:10" ht="19.5" customHeight="1">
      <c r="A41" s="114">
        <v>37</v>
      </c>
      <c r="B41" s="93"/>
      <c r="C41" s="207"/>
      <c r="D41" s="171"/>
      <c r="E41" s="271" t="s">
        <v>1159</v>
      </c>
      <c r="F41" s="172" t="s">
        <v>1160</v>
      </c>
      <c r="G41" s="82">
        <v>39937</v>
      </c>
      <c r="H41" s="8"/>
      <c r="I41" s="14"/>
    </row>
    <row r="42" spans="1:10" ht="19.5" customHeight="1">
      <c r="A42" s="115">
        <v>38</v>
      </c>
      <c r="B42" s="93"/>
      <c r="C42" s="208"/>
      <c r="D42" s="171"/>
      <c r="E42" s="272" t="s">
        <v>1161</v>
      </c>
      <c r="F42" s="179" t="s">
        <v>1162</v>
      </c>
      <c r="G42" s="82">
        <v>40458</v>
      </c>
      <c r="H42" s="8"/>
      <c r="I42" s="14" t="s">
        <v>12</v>
      </c>
    </row>
    <row r="43" spans="1:10" ht="19.5" customHeight="1">
      <c r="A43" s="114">
        <v>39</v>
      </c>
      <c r="B43" s="93"/>
      <c r="C43" s="208"/>
      <c r="D43" s="171"/>
      <c r="E43" s="542" t="s">
        <v>1163</v>
      </c>
      <c r="F43" s="192" t="s">
        <v>1164</v>
      </c>
      <c r="G43" s="96">
        <v>40474</v>
      </c>
      <c r="H43" s="8"/>
      <c r="I43" s="14"/>
    </row>
    <row r="44" spans="1:10" ht="19.5" customHeight="1">
      <c r="A44" s="114">
        <v>40</v>
      </c>
      <c r="B44" s="93"/>
      <c r="C44" s="208"/>
      <c r="D44" s="171"/>
      <c r="E44" s="243" t="s">
        <v>1165</v>
      </c>
      <c r="F44" s="191" t="s">
        <v>1166</v>
      </c>
      <c r="G44" s="192">
        <v>40443</v>
      </c>
      <c r="H44" s="8"/>
      <c r="I44" s="14"/>
    </row>
    <row r="45" spans="1:10" ht="19.5" customHeight="1">
      <c r="A45" s="115">
        <v>41</v>
      </c>
      <c r="B45" s="93"/>
      <c r="C45" s="208"/>
      <c r="D45" s="171"/>
      <c r="E45" s="542" t="s">
        <v>1167</v>
      </c>
      <c r="F45" s="192" t="s">
        <v>1168</v>
      </c>
      <c r="G45" s="192">
        <v>40400</v>
      </c>
      <c r="H45" s="8"/>
      <c r="I45" s="14"/>
      <c r="J45" t="s">
        <v>12</v>
      </c>
    </row>
    <row r="46" spans="1:10" ht="19.5" customHeight="1">
      <c r="A46" s="114">
        <v>42</v>
      </c>
      <c r="B46" s="93"/>
      <c r="C46" s="208"/>
      <c r="D46" s="171"/>
      <c r="E46" s="243" t="s">
        <v>1169</v>
      </c>
      <c r="F46" s="104" t="s">
        <v>1170</v>
      </c>
      <c r="G46" s="96">
        <v>39793</v>
      </c>
      <c r="H46" s="8"/>
      <c r="I46" s="14"/>
    </row>
    <row r="47" spans="1:10" ht="19.5" customHeight="1">
      <c r="A47" s="114">
        <v>43</v>
      </c>
      <c r="B47" s="93"/>
      <c r="C47" s="207"/>
      <c r="D47" s="171"/>
      <c r="E47" s="272" t="s">
        <v>1171</v>
      </c>
      <c r="F47" s="179" t="s">
        <v>1172</v>
      </c>
      <c r="G47" s="172">
        <v>40648</v>
      </c>
      <c r="H47" s="8"/>
      <c r="I47" s="14"/>
    </row>
    <row r="48" spans="1:10" ht="19.5" customHeight="1">
      <c r="A48" s="114">
        <v>44</v>
      </c>
      <c r="B48" s="93"/>
      <c r="C48" s="209"/>
      <c r="D48" s="210"/>
      <c r="E48" s="595" t="s">
        <v>1173</v>
      </c>
      <c r="F48" s="596" t="s">
        <v>1174</v>
      </c>
      <c r="G48" s="189">
        <v>40366</v>
      </c>
      <c r="H48" s="8"/>
      <c r="I48" s="14"/>
    </row>
    <row r="49" spans="1:9" ht="19.5" customHeight="1" thickBot="1">
      <c r="A49" s="307">
        <v>45</v>
      </c>
      <c r="B49" s="234"/>
      <c r="C49" s="323"/>
      <c r="D49" s="324"/>
      <c r="E49" s="325" t="s">
        <v>1331</v>
      </c>
      <c r="F49" s="289" t="s">
        <v>1332</v>
      </c>
      <c r="G49" s="286">
        <v>40379</v>
      </c>
      <c r="H49" s="8"/>
      <c r="I49" s="14"/>
    </row>
    <row r="50" spans="1:9" ht="19.5" customHeight="1" thickBot="1">
      <c r="A50" s="110" t="s">
        <v>10</v>
      </c>
      <c r="B50" s="166"/>
      <c r="C50" s="111"/>
      <c r="D50" s="706" t="s">
        <v>899</v>
      </c>
      <c r="E50" s="675"/>
      <c r="F50" s="676" t="s">
        <v>11</v>
      </c>
      <c r="G50" s="677"/>
    </row>
    <row r="51" spans="1:9" ht="19.5" customHeight="1">
      <c r="A51" s="707"/>
      <c r="B51" s="708"/>
      <c r="C51" s="708"/>
      <c r="D51" s="708"/>
      <c r="E51" s="708"/>
      <c r="F51" s="708"/>
      <c r="G51" s="709"/>
    </row>
    <row r="52" spans="1:9" ht="19.5" customHeight="1" thickBot="1">
      <c r="A52" s="710"/>
      <c r="B52" s="711"/>
      <c r="C52" s="711"/>
      <c r="D52" s="711"/>
      <c r="E52" s="711"/>
      <c r="F52" s="711"/>
      <c r="G52" s="697"/>
    </row>
  </sheetData>
  <sortState xmlns:xlrd2="http://schemas.microsoft.com/office/spreadsheetml/2017/richdata2" ref="E6:G49">
    <sortCondition ref="E5:E49"/>
  </sortState>
  <mergeCells count="11">
    <mergeCell ref="D50:E50"/>
    <mergeCell ref="F50:G50"/>
    <mergeCell ref="A51:G52"/>
    <mergeCell ref="A1:D1"/>
    <mergeCell ref="E1:G1"/>
    <mergeCell ref="A2:G2"/>
    <mergeCell ref="A3:A4"/>
    <mergeCell ref="B3:B4"/>
    <mergeCell ref="C3:D3"/>
    <mergeCell ref="F3:F4"/>
    <mergeCell ref="G3:G4"/>
  </mergeCells>
  <phoneticPr fontId="21" type="noConversion"/>
  <conditionalFormatting sqref="E7:E15 E44:E46">
    <cfRule type="cellIs" dxfId="40" priority="1" stopIfTrue="1" operator="between">
      <formula>1</formula>
      <formula>3.9</formula>
    </cfRule>
  </conditionalFormatting>
  <conditionalFormatting sqref="E17:E21 E23:E24 E26:E34 E36 E38">
    <cfRule type="cellIs" dxfId="39" priority="2" stopIfTrue="1" operator="between">
      <formula>1</formula>
      <formula>3.9</formula>
    </cfRule>
  </conditionalFormatting>
  <pageMargins left="0.7" right="0.7" top="0.75" bottom="0.75" header="0.3" footer="0.3"/>
  <pageSetup paperSize="9" scale="69" orientation="portrait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D71F-B374-4506-8AE7-1E660E1FE233}">
  <sheetPr>
    <pageSetUpPr fitToPage="1"/>
  </sheetPr>
  <dimension ref="A1:M52"/>
  <sheetViews>
    <sheetView showGridLines="0" topLeftCell="A37" zoomScaleNormal="100" workbookViewId="0">
      <selection activeCell="L47" sqref="L47"/>
    </sheetView>
  </sheetViews>
  <sheetFormatPr baseColWidth="10" defaultColWidth="12.5703125" defaultRowHeight="15" customHeight="1"/>
  <cols>
    <col min="1" max="2" width="5.7109375" customWidth="1"/>
    <col min="3" max="3" width="10.7109375" customWidth="1"/>
    <col min="4" max="4" width="14.28515625" customWidth="1"/>
    <col min="5" max="5" width="61.140625" customWidth="1"/>
    <col min="6" max="7" width="14.7109375" customWidth="1"/>
    <col min="8" max="8" width="7.28515625" customWidth="1"/>
    <col min="9" max="13" width="11.42578125" customWidth="1"/>
    <col min="14" max="26" width="10.5703125" customWidth="1"/>
  </cols>
  <sheetData>
    <row r="1" spans="1:13" ht="72.75" customHeight="1" thickBot="1">
      <c r="A1" s="684"/>
      <c r="B1" s="685"/>
      <c r="C1" s="685"/>
      <c r="D1" s="685"/>
      <c r="E1" s="686" t="s">
        <v>0</v>
      </c>
      <c r="F1" s="685"/>
      <c r="G1" s="687"/>
      <c r="H1" s="1"/>
      <c r="I1" s="2"/>
      <c r="J1" s="2"/>
      <c r="K1" s="2"/>
      <c r="L1" s="2"/>
      <c r="M1" s="2"/>
    </row>
    <row r="2" spans="1:13" ht="19.5" customHeight="1" thickBot="1">
      <c r="A2" s="688" t="s">
        <v>1</v>
      </c>
      <c r="B2" s="700"/>
      <c r="C2" s="700"/>
      <c r="D2" s="700"/>
      <c r="E2" s="700"/>
      <c r="F2" s="700"/>
      <c r="G2" s="701"/>
      <c r="I2" s="3"/>
      <c r="J2" s="3"/>
      <c r="K2" s="3"/>
      <c r="L2" s="3"/>
      <c r="M2" s="3"/>
    </row>
    <row r="3" spans="1:13" ht="19.5" customHeight="1">
      <c r="A3" s="691" t="s">
        <v>2</v>
      </c>
      <c r="B3" s="691" t="s">
        <v>3</v>
      </c>
      <c r="C3" s="713" t="s">
        <v>4</v>
      </c>
      <c r="D3" s="714"/>
      <c r="E3" s="4" t="s">
        <v>1844</v>
      </c>
      <c r="F3" s="691" t="s">
        <v>5</v>
      </c>
      <c r="G3" s="691" t="s">
        <v>6</v>
      </c>
      <c r="H3" s="16"/>
      <c r="I3" s="17"/>
      <c r="J3" s="17"/>
      <c r="K3" s="17"/>
      <c r="L3" s="17"/>
      <c r="M3" s="17"/>
    </row>
    <row r="4" spans="1:13" ht="19.5" customHeight="1" thickBot="1">
      <c r="A4" s="712"/>
      <c r="B4" s="712"/>
      <c r="C4" s="5" t="s">
        <v>7</v>
      </c>
      <c r="D4" s="5" t="s">
        <v>8</v>
      </c>
      <c r="E4" s="639" t="s">
        <v>9</v>
      </c>
      <c r="F4" s="699"/>
      <c r="G4" s="699"/>
      <c r="H4" s="18"/>
      <c r="I4" s="17"/>
      <c r="J4" s="17"/>
      <c r="K4" s="17"/>
      <c r="L4" s="17"/>
      <c r="M4" s="17"/>
    </row>
    <row r="5" spans="1:13" ht="19.5" customHeight="1">
      <c r="A5" s="10">
        <v>1</v>
      </c>
      <c r="B5" s="211"/>
      <c r="C5" s="212"/>
      <c r="D5" s="276"/>
      <c r="E5" s="638" t="s">
        <v>1177</v>
      </c>
      <c r="F5" s="597" t="s">
        <v>1178</v>
      </c>
      <c r="G5" s="597">
        <v>40503</v>
      </c>
      <c r="H5" s="8"/>
      <c r="I5" s="13"/>
      <c r="J5" s="13"/>
      <c r="K5" s="13"/>
      <c r="L5" s="13"/>
      <c r="M5" s="13"/>
    </row>
    <row r="6" spans="1:13" ht="19.5" customHeight="1">
      <c r="A6" s="10">
        <v>2</v>
      </c>
      <c r="B6" s="211"/>
      <c r="C6" s="212"/>
      <c r="D6" s="276" t="s">
        <v>1353</v>
      </c>
      <c r="E6" s="598" t="s">
        <v>1866</v>
      </c>
      <c r="F6" s="599" t="s">
        <v>1867</v>
      </c>
      <c r="G6" s="518">
        <v>40505</v>
      </c>
      <c r="H6" s="8"/>
      <c r="I6" s="9"/>
      <c r="J6" s="14"/>
      <c r="K6" s="14"/>
      <c r="L6" s="14"/>
      <c r="M6" s="14"/>
    </row>
    <row r="7" spans="1:13" ht="19.5" customHeight="1">
      <c r="A7" s="10">
        <v>3</v>
      </c>
      <c r="B7" s="211"/>
      <c r="C7" s="212"/>
      <c r="D7" s="235"/>
      <c r="E7" s="291" t="s">
        <v>1179</v>
      </c>
      <c r="F7" s="273" t="s">
        <v>1239</v>
      </c>
      <c r="G7" s="82">
        <v>40165</v>
      </c>
      <c r="H7" s="8"/>
      <c r="I7" s="14"/>
      <c r="J7" s="14"/>
      <c r="K7" s="14"/>
      <c r="L7" s="14"/>
      <c r="M7" s="14"/>
    </row>
    <row r="8" spans="1:13" ht="19.5" customHeight="1">
      <c r="A8" s="10">
        <v>4</v>
      </c>
      <c r="B8" s="211"/>
      <c r="C8" s="212"/>
      <c r="D8" s="235"/>
      <c r="E8" s="263" t="s">
        <v>1180</v>
      </c>
      <c r="F8" s="184" t="s">
        <v>1181</v>
      </c>
      <c r="G8" s="186">
        <v>40298</v>
      </c>
      <c r="H8" s="8"/>
      <c r="I8" s="9"/>
      <c r="J8" s="14"/>
      <c r="K8" s="14"/>
      <c r="L8" s="14"/>
      <c r="M8" s="14"/>
    </row>
    <row r="9" spans="1:13" ht="19.5" customHeight="1">
      <c r="A9" s="10">
        <v>5</v>
      </c>
      <c r="B9" s="211"/>
      <c r="C9" s="212"/>
      <c r="D9" s="276"/>
      <c r="E9" s="282" t="s">
        <v>1280</v>
      </c>
      <c r="F9" s="172" t="s">
        <v>1281</v>
      </c>
      <c r="G9" s="172" t="s">
        <v>1282</v>
      </c>
      <c r="H9" s="8"/>
      <c r="I9" s="9"/>
      <c r="J9" s="14"/>
      <c r="K9" s="14"/>
      <c r="L9" s="14"/>
      <c r="M9" s="14"/>
    </row>
    <row r="10" spans="1:13" ht="19.5" customHeight="1">
      <c r="A10" s="10">
        <v>6</v>
      </c>
      <c r="B10" s="211"/>
      <c r="C10" s="212"/>
      <c r="D10" s="375"/>
      <c r="E10" s="283" t="s">
        <v>1182</v>
      </c>
      <c r="F10" s="178" t="s">
        <v>1183</v>
      </c>
      <c r="G10" s="172">
        <v>40353</v>
      </c>
      <c r="H10" s="8"/>
      <c r="I10" s="14"/>
      <c r="J10" s="14"/>
      <c r="K10" s="14"/>
      <c r="L10" s="14"/>
      <c r="M10" s="14"/>
    </row>
    <row r="11" spans="1:13" ht="19.5" customHeight="1">
      <c r="A11" s="10">
        <v>7</v>
      </c>
      <c r="B11" s="211"/>
      <c r="C11" s="212"/>
      <c r="D11" s="276"/>
      <c r="E11" s="283" t="s">
        <v>1184</v>
      </c>
      <c r="F11" s="178" t="s">
        <v>1185</v>
      </c>
      <c r="G11" s="172">
        <v>40370</v>
      </c>
      <c r="H11" s="8"/>
      <c r="I11" s="14"/>
      <c r="J11" s="14"/>
      <c r="K11" s="14"/>
      <c r="L11" s="14"/>
      <c r="M11" s="14"/>
    </row>
    <row r="12" spans="1:13" ht="19.5" customHeight="1">
      <c r="A12" s="10">
        <v>8</v>
      </c>
      <c r="B12" s="211"/>
      <c r="C12" s="212"/>
      <c r="D12" s="278"/>
      <c r="E12" s="284" t="s">
        <v>1186</v>
      </c>
      <c r="F12" s="178" t="s">
        <v>1187</v>
      </c>
      <c r="G12" s="172">
        <v>40436</v>
      </c>
      <c r="H12" s="8"/>
      <c r="I12" s="14"/>
      <c r="J12" s="14"/>
      <c r="K12" s="14"/>
      <c r="L12" s="14"/>
      <c r="M12" s="14"/>
    </row>
    <row r="13" spans="1:13" ht="19.5" customHeight="1">
      <c r="A13" s="10">
        <v>9</v>
      </c>
      <c r="B13" s="211"/>
      <c r="C13" s="212"/>
      <c r="D13" s="276"/>
      <c r="E13" s="287" t="s">
        <v>1188</v>
      </c>
      <c r="F13" s="186" t="s">
        <v>1189</v>
      </c>
      <c r="G13" s="186">
        <v>40372</v>
      </c>
      <c r="H13" s="8"/>
      <c r="I13" s="14"/>
      <c r="J13" s="14"/>
      <c r="K13" s="14"/>
      <c r="L13" s="14"/>
      <c r="M13" s="14"/>
    </row>
    <row r="14" spans="1:13" ht="19.5" customHeight="1">
      <c r="A14" s="10">
        <v>10</v>
      </c>
      <c r="B14" s="211"/>
      <c r="C14" s="212"/>
      <c r="D14" s="276"/>
      <c r="E14" s="291" t="s">
        <v>1241</v>
      </c>
      <c r="F14" s="179" t="s">
        <v>1190</v>
      </c>
      <c r="G14" s="172">
        <v>40184</v>
      </c>
      <c r="H14" s="8"/>
      <c r="I14" s="14"/>
      <c r="J14" s="14"/>
      <c r="K14" s="14"/>
      <c r="L14" s="14"/>
      <c r="M14" s="14"/>
    </row>
    <row r="15" spans="1:13" ht="19.5" customHeight="1">
      <c r="A15" s="10">
        <v>11</v>
      </c>
      <c r="B15" s="211"/>
      <c r="C15" s="212"/>
      <c r="D15" s="235"/>
      <c r="E15" s="283" t="s">
        <v>1238</v>
      </c>
      <c r="F15" s="178" t="s">
        <v>1191</v>
      </c>
      <c r="G15" s="172">
        <v>40408</v>
      </c>
      <c r="H15" s="8"/>
      <c r="I15" s="14"/>
      <c r="J15" s="14"/>
      <c r="K15" s="14"/>
      <c r="L15" s="14"/>
      <c r="M15" s="14"/>
    </row>
    <row r="16" spans="1:13" ht="19.5" customHeight="1">
      <c r="A16" s="10">
        <v>12</v>
      </c>
      <c r="B16" s="211"/>
      <c r="C16" s="747" t="s">
        <v>1911</v>
      </c>
      <c r="D16" s="748" t="s">
        <v>1353</v>
      </c>
      <c r="E16" s="537" t="s">
        <v>1909</v>
      </c>
      <c r="F16" s="538" t="s">
        <v>1910</v>
      </c>
      <c r="G16" s="518">
        <v>40281</v>
      </c>
      <c r="H16" s="8"/>
      <c r="I16" s="14"/>
      <c r="J16" s="14"/>
      <c r="K16" s="14"/>
      <c r="L16" s="14"/>
      <c r="M16" s="14"/>
    </row>
    <row r="17" spans="1:8" ht="19.5" customHeight="1">
      <c r="A17" s="10">
        <v>13</v>
      </c>
      <c r="B17" s="211"/>
      <c r="C17" s="212"/>
      <c r="D17" s="276"/>
      <c r="E17" s="283" t="s">
        <v>1192</v>
      </c>
      <c r="F17" s="178" t="s">
        <v>1193</v>
      </c>
      <c r="G17" s="172">
        <v>40312</v>
      </c>
      <c r="H17" s="8"/>
    </row>
    <row r="18" spans="1:8" ht="19.5" customHeight="1">
      <c r="A18" s="10">
        <v>14</v>
      </c>
      <c r="B18" s="211"/>
      <c r="C18" s="212"/>
      <c r="D18" s="235" t="s">
        <v>1353</v>
      </c>
      <c r="E18" s="537" t="s">
        <v>1392</v>
      </c>
      <c r="F18" s="538" t="s">
        <v>1393</v>
      </c>
      <c r="G18" s="518">
        <v>40436</v>
      </c>
      <c r="H18" s="8"/>
    </row>
    <row r="19" spans="1:8" ht="19.5" customHeight="1">
      <c r="A19" s="10">
        <v>15</v>
      </c>
      <c r="B19" s="211"/>
      <c r="C19" s="212"/>
      <c r="D19" s="278"/>
      <c r="E19" s="283" t="s">
        <v>1194</v>
      </c>
      <c r="F19" s="178" t="s">
        <v>1195</v>
      </c>
      <c r="G19" s="172">
        <v>40466</v>
      </c>
      <c r="H19" s="8"/>
    </row>
    <row r="20" spans="1:8" ht="19.5" customHeight="1">
      <c r="A20" s="10">
        <v>16</v>
      </c>
      <c r="B20" s="211"/>
      <c r="C20" s="212"/>
      <c r="D20" s="276"/>
      <c r="E20" s="282" t="s">
        <v>1196</v>
      </c>
      <c r="F20" s="82" t="s">
        <v>1197</v>
      </c>
      <c r="G20" s="82">
        <v>40676</v>
      </c>
      <c r="H20" s="8"/>
    </row>
    <row r="21" spans="1:8" ht="19.5" customHeight="1">
      <c r="A21" s="10">
        <v>17</v>
      </c>
      <c r="B21" s="211"/>
      <c r="C21" s="212"/>
      <c r="D21" s="235"/>
      <c r="E21" s="660" t="s">
        <v>1198</v>
      </c>
      <c r="F21" s="181" t="s">
        <v>1199</v>
      </c>
      <c r="G21" s="118">
        <v>40629</v>
      </c>
      <c r="H21" s="8"/>
    </row>
    <row r="22" spans="1:8" ht="19.5" customHeight="1">
      <c r="A22" s="10">
        <v>18</v>
      </c>
      <c r="B22" s="211"/>
      <c r="C22" s="212"/>
      <c r="D22" s="278"/>
      <c r="E22" s="287" t="s">
        <v>1284</v>
      </c>
      <c r="F22" s="186" t="s">
        <v>1200</v>
      </c>
      <c r="G22" s="275">
        <v>40680</v>
      </c>
      <c r="H22" s="8"/>
    </row>
    <row r="23" spans="1:8" ht="19.5" customHeight="1">
      <c r="A23" s="10">
        <v>19</v>
      </c>
      <c r="B23" s="211"/>
      <c r="C23" s="747" t="s">
        <v>1914</v>
      </c>
      <c r="D23" s="744" t="s">
        <v>1353</v>
      </c>
      <c r="E23" s="537" t="s">
        <v>1912</v>
      </c>
      <c r="F23" s="538" t="s">
        <v>1913</v>
      </c>
      <c r="G23" s="518">
        <v>40556</v>
      </c>
      <c r="H23" s="8"/>
    </row>
    <row r="24" spans="1:8" ht="19.5" customHeight="1">
      <c r="A24" s="10">
        <v>20</v>
      </c>
      <c r="B24" s="211"/>
      <c r="C24" s="212"/>
      <c r="D24" s="235"/>
      <c r="E24" s="283" t="s">
        <v>1201</v>
      </c>
      <c r="F24" s="178" t="s">
        <v>1202</v>
      </c>
      <c r="G24" s="82">
        <v>40495</v>
      </c>
      <c r="H24" s="8"/>
    </row>
    <row r="25" spans="1:8" ht="19.5" customHeight="1">
      <c r="A25" s="10">
        <v>21</v>
      </c>
      <c r="B25" s="211"/>
      <c r="C25" s="212">
        <v>46083</v>
      </c>
      <c r="D25" s="278" t="s">
        <v>1353</v>
      </c>
      <c r="E25" s="537" t="s">
        <v>1919</v>
      </c>
      <c r="F25" s="538" t="s">
        <v>1920</v>
      </c>
      <c r="G25" s="518">
        <v>40571</v>
      </c>
      <c r="H25" s="8"/>
    </row>
    <row r="26" spans="1:8" ht="19.5" customHeight="1">
      <c r="A26" s="10">
        <v>22</v>
      </c>
      <c r="B26" s="211"/>
      <c r="C26" s="749"/>
      <c r="D26" s="744"/>
      <c r="E26" s="290" t="s">
        <v>1203</v>
      </c>
      <c r="F26" s="274" t="s">
        <v>1204</v>
      </c>
      <c r="G26" s="275">
        <v>40527</v>
      </c>
      <c r="H26" s="8"/>
    </row>
    <row r="27" spans="1:8" ht="19.5" customHeight="1">
      <c r="A27" s="10">
        <v>23</v>
      </c>
      <c r="B27" s="211"/>
      <c r="C27" s="11" t="s">
        <v>1896</v>
      </c>
      <c r="D27" s="278" t="s">
        <v>1353</v>
      </c>
      <c r="E27" s="537" t="s">
        <v>1868</v>
      </c>
      <c r="F27" s="538" t="s">
        <v>1869</v>
      </c>
      <c r="G27" s="518">
        <v>40014</v>
      </c>
      <c r="H27" s="8"/>
    </row>
    <row r="28" spans="1:8" ht="19.5" customHeight="1">
      <c r="A28" s="10">
        <v>24</v>
      </c>
      <c r="B28" s="211"/>
      <c r="C28" s="212"/>
      <c r="D28" s="278"/>
      <c r="E28" s="282" t="s">
        <v>1242</v>
      </c>
      <c r="F28" s="172" t="s">
        <v>1205</v>
      </c>
      <c r="G28" s="82">
        <v>40581</v>
      </c>
      <c r="H28" s="8"/>
    </row>
    <row r="29" spans="1:8" ht="19.5" customHeight="1">
      <c r="A29" s="10">
        <v>25</v>
      </c>
      <c r="B29" s="211"/>
      <c r="C29" s="212"/>
      <c r="D29" s="278"/>
      <c r="E29" s="282" t="s">
        <v>1206</v>
      </c>
      <c r="F29" s="172" t="s">
        <v>1207</v>
      </c>
      <c r="G29" s="82">
        <v>40279</v>
      </c>
      <c r="H29" s="8"/>
    </row>
    <row r="30" spans="1:8" ht="19.5" customHeight="1">
      <c r="A30" s="10">
        <v>26</v>
      </c>
      <c r="B30" s="211"/>
      <c r="C30" s="212"/>
      <c r="D30" s="276" t="s">
        <v>1353</v>
      </c>
      <c r="E30" s="645" t="s">
        <v>1902</v>
      </c>
      <c r="F30" s="518" t="s">
        <v>1903</v>
      </c>
      <c r="G30" s="518">
        <v>40632</v>
      </c>
      <c r="H30" s="8"/>
    </row>
    <row r="31" spans="1:8" ht="19.5" customHeight="1">
      <c r="A31" s="10">
        <v>27</v>
      </c>
      <c r="B31" s="211"/>
      <c r="C31" s="212"/>
      <c r="D31" s="276"/>
      <c r="E31" s="282" t="s">
        <v>1208</v>
      </c>
      <c r="F31" s="172" t="s">
        <v>1209</v>
      </c>
      <c r="G31" s="82">
        <v>40516</v>
      </c>
      <c r="H31" s="8"/>
    </row>
    <row r="32" spans="1:8" ht="19.5" customHeight="1">
      <c r="A32" s="10">
        <v>28</v>
      </c>
      <c r="B32" s="211"/>
      <c r="C32" s="212"/>
      <c r="D32" s="278"/>
      <c r="E32" s="283" t="s">
        <v>1210</v>
      </c>
      <c r="F32" s="178" t="s">
        <v>1211</v>
      </c>
      <c r="G32" s="82">
        <v>40447</v>
      </c>
      <c r="H32" s="8"/>
    </row>
    <row r="33" spans="1:8" ht="19.5" customHeight="1">
      <c r="A33" s="10">
        <v>29</v>
      </c>
      <c r="B33" s="211"/>
      <c r="C33" s="212"/>
      <c r="D33" s="278"/>
      <c r="E33" s="282" t="s">
        <v>1277</v>
      </c>
      <c r="F33" s="172" t="s">
        <v>1278</v>
      </c>
      <c r="G33" s="172" t="s">
        <v>1279</v>
      </c>
      <c r="H33" s="8"/>
    </row>
    <row r="34" spans="1:8" ht="19.5" customHeight="1">
      <c r="A34" s="10">
        <v>30</v>
      </c>
      <c r="B34" s="211"/>
      <c r="C34" s="212"/>
      <c r="D34" s="277"/>
      <c r="E34" s="263" t="s">
        <v>1243</v>
      </c>
      <c r="F34" s="184" t="s">
        <v>1212</v>
      </c>
      <c r="G34" s="275">
        <v>40278</v>
      </c>
      <c r="H34" s="8"/>
    </row>
    <row r="35" spans="1:8" ht="19.5" customHeight="1">
      <c r="A35" s="10">
        <v>31</v>
      </c>
      <c r="B35" s="211"/>
      <c r="C35" s="212"/>
      <c r="D35" s="278"/>
      <c r="E35" s="282" t="s">
        <v>1214</v>
      </c>
      <c r="F35" s="82" t="s">
        <v>1215</v>
      </c>
      <c r="G35" s="82">
        <v>40660</v>
      </c>
      <c r="H35" s="8"/>
    </row>
    <row r="36" spans="1:8" ht="19.5" customHeight="1">
      <c r="A36" s="10">
        <v>32</v>
      </c>
      <c r="B36" s="211"/>
      <c r="C36" s="212"/>
      <c r="D36" s="276" t="s">
        <v>1353</v>
      </c>
      <c r="E36" s="537" t="s">
        <v>1892</v>
      </c>
      <c r="F36" s="538" t="s">
        <v>1893</v>
      </c>
      <c r="G36" s="518">
        <v>40230</v>
      </c>
      <c r="H36" s="8"/>
    </row>
    <row r="37" spans="1:8" ht="19.5" customHeight="1">
      <c r="A37" s="10">
        <v>33</v>
      </c>
      <c r="B37" s="211"/>
      <c r="C37" s="212"/>
      <c r="D37" s="276"/>
      <c r="E37" s="283" t="s">
        <v>1216</v>
      </c>
      <c r="F37" s="178" t="s">
        <v>1217</v>
      </c>
      <c r="G37" s="82">
        <v>40334</v>
      </c>
      <c r="H37" s="8"/>
    </row>
    <row r="38" spans="1:8" ht="19.5" customHeight="1">
      <c r="A38" s="10">
        <v>34</v>
      </c>
      <c r="B38" s="211"/>
      <c r="C38" s="212"/>
      <c r="D38" s="276"/>
      <c r="E38" s="488" t="s">
        <v>1218</v>
      </c>
      <c r="F38" s="118" t="s">
        <v>1219</v>
      </c>
      <c r="G38" s="118">
        <v>40338</v>
      </c>
      <c r="H38" s="8"/>
    </row>
    <row r="39" spans="1:8" ht="19.5" customHeight="1">
      <c r="A39" s="10">
        <v>35</v>
      </c>
      <c r="B39" s="211"/>
      <c r="C39" s="212"/>
      <c r="D39" s="276"/>
      <c r="E39" s="263" t="s">
        <v>1220</v>
      </c>
      <c r="F39" s="184" t="s">
        <v>1221</v>
      </c>
      <c r="G39" s="275">
        <v>40217</v>
      </c>
      <c r="H39" s="8"/>
    </row>
    <row r="40" spans="1:8" ht="19.5" customHeight="1">
      <c r="A40" s="10">
        <v>36</v>
      </c>
      <c r="B40" s="211"/>
      <c r="C40" s="212"/>
      <c r="D40" s="276"/>
      <c r="E40" s="283" t="s">
        <v>1244</v>
      </c>
      <c r="F40" s="178" t="s">
        <v>1245</v>
      </c>
      <c r="G40" s="82">
        <v>40440</v>
      </c>
      <c r="H40" s="8"/>
    </row>
    <row r="41" spans="1:8" ht="19.5" customHeight="1">
      <c r="A41" s="10">
        <v>37</v>
      </c>
      <c r="B41" s="211"/>
      <c r="C41" s="212"/>
      <c r="D41" s="235"/>
      <c r="E41" s="488" t="s">
        <v>1301</v>
      </c>
      <c r="F41" s="182" t="s">
        <v>1302</v>
      </c>
      <c r="G41" s="182">
        <v>40708</v>
      </c>
      <c r="H41" s="8"/>
    </row>
    <row r="42" spans="1:8" ht="19.5" customHeight="1">
      <c r="A42" s="10">
        <v>38</v>
      </c>
      <c r="B42" s="211"/>
      <c r="C42" s="212"/>
      <c r="D42" s="278"/>
      <c r="E42" s="488" t="s">
        <v>1222</v>
      </c>
      <c r="F42" s="182" t="s">
        <v>1223</v>
      </c>
      <c r="G42" s="118">
        <v>40503</v>
      </c>
      <c r="H42" s="8"/>
    </row>
    <row r="43" spans="1:8" ht="19.5" customHeight="1">
      <c r="A43" s="10">
        <v>39</v>
      </c>
      <c r="B43" s="211"/>
      <c r="C43" s="212"/>
      <c r="D43" s="276" t="s">
        <v>1353</v>
      </c>
      <c r="E43" s="591" t="s">
        <v>1901</v>
      </c>
      <c r="F43" s="661" t="s">
        <v>1737</v>
      </c>
      <c r="G43" s="411">
        <v>40037</v>
      </c>
      <c r="H43" s="8"/>
    </row>
    <row r="44" spans="1:8" ht="19.5" customHeight="1">
      <c r="A44" s="10">
        <v>40</v>
      </c>
      <c r="B44" s="211"/>
      <c r="C44" s="212"/>
      <c r="D44" s="279"/>
      <c r="E44" s="198" t="s">
        <v>1224</v>
      </c>
      <c r="F44" s="195" t="s">
        <v>1225</v>
      </c>
      <c r="G44" s="96">
        <v>40574</v>
      </c>
      <c r="H44" s="8"/>
    </row>
    <row r="45" spans="1:8" ht="19.5" customHeight="1">
      <c r="A45" s="10">
        <v>41</v>
      </c>
      <c r="B45" s="211"/>
      <c r="C45" s="213"/>
      <c r="D45" s="279" t="s">
        <v>1353</v>
      </c>
      <c r="E45" s="591" t="s">
        <v>1394</v>
      </c>
      <c r="F45" s="661" t="s">
        <v>1395</v>
      </c>
      <c r="G45" s="411">
        <v>40352</v>
      </c>
      <c r="H45" s="8"/>
    </row>
    <row r="46" spans="1:8" ht="19.5" customHeight="1">
      <c r="A46" s="10">
        <v>42</v>
      </c>
      <c r="B46" s="211"/>
      <c r="C46" s="133"/>
      <c r="D46" s="280"/>
      <c r="E46" s="263" t="s">
        <v>1227</v>
      </c>
      <c r="F46" s="184" t="s">
        <v>1228</v>
      </c>
      <c r="G46" s="186">
        <v>39921</v>
      </c>
      <c r="H46" s="8"/>
    </row>
    <row r="47" spans="1:8" ht="19.5" customHeight="1">
      <c r="A47" s="10">
        <v>43</v>
      </c>
      <c r="B47" s="211"/>
      <c r="C47" s="133"/>
      <c r="D47" s="393"/>
      <c r="E47" s="745" t="s">
        <v>1229</v>
      </c>
      <c r="F47" s="746" t="s">
        <v>1230</v>
      </c>
      <c r="G47" s="662">
        <v>40385</v>
      </c>
      <c r="H47" s="8"/>
    </row>
    <row r="48" spans="1:8" ht="19.5" customHeight="1">
      <c r="A48" s="303">
        <v>44</v>
      </c>
      <c r="B48" s="211"/>
      <c r="C48" s="750"/>
      <c r="D48" s="751"/>
      <c r="E48" s="282" t="s">
        <v>1246</v>
      </c>
      <c r="F48" s="172" t="s">
        <v>1231</v>
      </c>
      <c r="G48" s="82">
        <v>40577</v>
      </c>
      <c r="H48" s="8"/>
    </row>
    <row r="49" spans="1:8" ht="19.5" customHeight="1" thickBot="1">
      <c r="A49" s="300">
        <v>45</v>
      </c>
      <c r="B49" s="308"/>
      <c r="C49" s="301"/>
      <c r="D49" s="302"/>
      <c r="E49" s="489"/>
      <c r="F49" s="491"/>
      <c r="G49" s="315"/>
      <c r="H49" s="8"/>
    </row>
    <row r="50" spans="1:8" ht="19.5" customHeight="1" thickBot="1">
      <c r="A50" s="110" t="s">
        <v>10</v>
      </c>
      <c r="B50" s="228"/>
      <c r="C50" s="111"/>
      <c r="D50" s="706" t="s">
        <v>1885</v>
      </c>
      <c r="E50" s="675"/>
      <c r="F50" s="676" t="s">
        <v>11</v>
      </c>
      <c r="G50" s="677"/>
      <c r="H50" s="19"/>
    </row>
    <row r="51" spans="1:8" ht="19.5" customHeight="1">
      <c r="A51" s="678"/>
      <c r="B51" s="679"/>
      <c r="C51" s="679"/>
      <c r="D51" s="679"/>
      <c r="E51" s="679"/>
      <c r="F51" s="679"/>
      <c r="G51" s="680"/>
      <c r="H51" s="6"/>
    </row>
    <row r="52" spans="1:8" ht="19.5" customHeight="1" thickBot="1">
      <c r="A52" s="681"/>
      <c r="B52" s="682"/>
      <c r="C52" s="682"/>
      <c r="D52" s="682"/>
      <c r="E52" s="682"/>
      <c r="F52" s="682"/>
      <c r="G52" s="683"/>
      <c r="H52" s="6"/>
    </row>
  </sheetData>
  <sortState xmlns:xlrd2="http://schemas.microsoft.com/office/spreadsheetml/2017/richdata2" ref="E6:G48">
    <sortCondition ref="E5:E48"/>
  </sortState>
  <mergeCells count="11">
    <mergeCell ref="D50:E50"/>
    <mergeCell ref="F50:G50"/>
    <mergeCell ref="A51:G52"/>
    <mergeCell ref="A1:D1"/>
    <mergeCell ref="E1:G1"/>
    <mergeCell ref="A2:G2"/>
    <mergeCell ref="A3:A4"/>
    <mergeCell ref="B3:B4"/>
    <mergeCell ref="C3:D3"/>
    <mergeCell ref="F3:F4"/>
    <mergeCell ref="G3:G4"/>
  </mergeCells>
  <phoneticPr fontId="21" type="noConversion"/>
  <conditionalFormatting sqref="E5:E12 E14:E21 E23:E38 E40:E45">
    <cfRule type="cellIs" dxfId="38" priority="2" stopIfTrue="1" operator="between">
      <formula>1</formula>
      <formula>3.9</formula>
    </cfRule>
  </conditionalFormatting>
  <conditionalFormatting sqref="E47:E49">
    <cfRule type="cellIs" dxfId="37" priority="1" stopIfTrue="1" operator="between">
      <formula>1</formula>
      <formula>3.9</formula>
    </cfRule>
  </conditionalFormatting>
  <pageMargins left="0.7" right="0.7" top="0.75" bottom="0.75" header="0.3" footer="0.3"/>
  <pageSetup paperSize="9" scale="69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pageSetUpPr fitToPage="1"/>
  </sheetPr>
  <dimension ref="A1:G53"/>
  <sheetViews>
    <sheetView showGridLines="0" topLeftCell="A37" zoomScaleNormal="100" workbookViewId="0">
      <selection activeCell="J15" sqref="J15"/>
    </sheetView>
  </sheetViews>
  <sheetFormatPr baseColWidth="10" defaultColWidth="12.5703125" defaultRowHeight="15" customHeight="1"/>
  <cols>
    <col min="1" max="2" width="5.7109375" customWidth="1"/>
    <col min="3" max="3" width="10.7109375" customWidth="1"/>
    <col min="4" max="4" width="14.28515625" customWidth="1"/>
    <col min="5" max="5" width="60.7109375" customWidth="1"/>
    <col min="6" max="7" width="14.7109375" customWidth="1"/>
    <col min="8" max="8" width="11.42578125" customWidth="1"/>
    <col min="9" max="26" width="10.5703125" customWidth="1"/>
  </cols>
  <sheetData>
    <row r="1" spans="1:7" ht="72.75" customHeight="1">
      <c r="A1" s="684"/>
      <c r="B1" s="685"/>
      <c r="C1" s="685"/>
      <c r="D1" s="685"/>
      <c r="E1" s="686" t="s">
        <v>0</v>
      </c>
      <c r="F1" s="685"/>
      <c r="G1" s="687"/>
    </row>
    <row r="2" spans="1:7" ht="19.5" customHeight="1" thickBot="1">
      <c r="A2" s="719" t="s">
        <v>1352</v>
      </c>
      <c r="B2" s="720"/>
      <c r="C2" s="720"/>
      <c r="D2" s="720"/>
      <c r="E2" s="720"/>
      <c r="F2" s="720"/>
      <c r="G2" s="721"/>
    </row>
    <row r="3" spans="1:7" ht="19.5" customHeight="1">
      <c r="A3" s="691" t="s">
        <v>2</v>
      </c>
      <c r="B3" s="691" t="s">
        <v>3</v>
      </c>
      <c r="C3" s="713" t="s">
        <v>4</v>
      </c>
      <c r="D3" s="714"/>
      <c r="E3" s="4" t="s">
        <v>1361</v>
      </c>
      <c r="F3" s="691" t="s">
        <v>5</v>
      </c>
      <c r="G3" s="691" t="s">
        <v>6</v>
      </c>
    </row>
    <row r="4" spans="1:7" ht="19.5" customHeight="1" thickBot="1">
      <c r="A4" s="673"/>
      <c r="B4" s="712"/>
      <c r="C4" s="5" t="s">
        <v>7</v>
      </c>
      <c r="D4" s="5" t="s">
        <v>8</v>
      </c>
      <c r="E4" s="281" t="s">
        <v>9</v>
      </c>
      <c r="F4" s="673"/>
      <c r="G4" s="673"/>
    </row>
    <row r="5" spans="1:7" ht="19.5" customHeight="1">
      <c r="A5" s="122">
        <v>1</v>
      </c>
      <c r="B5" s="394"/>
      <c r="C5" s="11"/>
      <c r="D5" s="235"/>
      <c r="E5" s="420" t="s">
        <v>266</v>
      </c>
      <c r="F5" s="563" t="s">
        <v>267</v>
      </c>
      <c r="G5" s="563" t="s">
        <v>268</v>
      </c>
    </row>
    <row r="6" spans="1:7" ht="19.5" customHeight="1">
      <c r="A6" s="80">
        <v>2</v>
      </c>
      <c r="B6" s="394"/>
      <c r="C6" s="11"/>
      <c r="D6" s="341"/>
      <c r="E6" s="199" t="s">
        <v>469</v>
      </c>
      <c r="F6" s="192" t="s">
        <v>470</v>
      </c>
      <c r="G6" s="192" t="s">
        <v>466</v>
      </c>
    </row>
    <row r="7" spans="1:7" ht="19.5" customHeight="1">
      <c r="A7" s="80">
        <v>3</v>
      </c>
      <c r="B7" s="394"/>
      <c r="C7" s="11"/>
      <c r="D7" s="341"/>
      <c r="E7" s="483" t="s">
        <v>224</v>
      </c>
      <c r="F7" s="519" t="s">
        <v>225</v>
      </c>
      <c r="G7" s="96">
        <v>40242</v>
      </c>
    </row>
    <row r="8" spans="1:7" ht="19.5" customHeight="1">
      <c r="A8" s="80">
        <v>4</v>
      </c>
      <c r="B8" s="394"/>
      <c r="C8" s="11"/>
      <c r="D8" s="235"/>
      <c r="E8" s="396" t="s">
        <v>53</v>
      </c>
      <c r="F8" s="104" t="s">
        <v>54</v>
      </c>
      <c r="G8" s="96" t="s">
        <v>55</v>
      </c>
    </row>
    <row r="9" spans="1:7" ht="19.5" customHeight="1">
      <c r="A9" s="80">
        <v>5</v>
      </c>
      <c r="B9" s="394"/>
      <c r="C9" s="11"/>
      <c r="D9" s="375"/>
      <c r="E9" s="199" t="s">
        <v>329</v>
      </c>
      <c r="F9" s="192" t="s">
        <v>330</v>
      </c>
      <c r="G9" s="193">
        <v>40169</v>
      </c>
    </row>
    <row r="10" spans="1:7" ht="19.5" customHeight="1">
      <c r="A10" s="80">
        <v>6</v>
      </c>
      <c r="B10" s="394"/>
      <c r="C10" s="11"/>
      <c r="D10" s="235"/>
      <c r="E10" s="255" t="s">
        <v>854</v>
      </c>
      <c r="F10" s="191" t="s">
        <v>666</v>
      </c>
      <c r="G10" s="192">
        <v>40456</v>
      </c>
    </row>
    <row r="11" spans="1:7" ht="19.5" customHeight="1">
      <c r="A11" s="80">
        <v>7</v>
      </c>
      <c r="B11" s="394"/>
      <c r="C11" s="11"/>
      <c r="D11" s="235"/>
      <c r="E11" s="255" t="s">
        <v>162</v>
      </c>
      <c r="F11" s="191" t="s">
        <v>161</v>
      </c>
      <c r="G11" s="192">
        <v>40249</v>
      </c>
    </row>
    <row r="12" spans="1:7" ht="19.5" customHeight="1">
      <c r="A12" s="80">
        <v>8</v>
      </c>
      <c r="B12" s="394"/>
      <c r="C12" s="11"/>
      <c r="D12" s="235"/>
      <c r="E12" s="311" t="s">
        <v>164</v>
      </c>
      <c r="F12" s="96" t="s">
        <v>163</v>
      </c>
      <c r="G12" s="105">
        <v>40065</v>
      </c>
    </row>
    <row r="13" spans="1:7" ht="19.5" customHeight="1">
      <c r="A13" s="80">
        <v>9</v>
      </c>
      <c r="B13" s="394"/>
      <c r="C13" s="11"/>
      <c r="D13" s="235" t="s">
        <v>1353</v>
      </c>
      <c r="E13" s="533" t="s">
        <v>1363</v>
      </c>
      <c r="F13" s="461" t="s">
        <v>1364</v>
      </c>
      <c r="G13" s="411">
        <v>39980</v>
      </c>
    </row>
    <row r="14" spans="1:7" ht="19.5" customHeight="1">
      <c r="A14" s="80">
        <v>10</v>
      </c>
      <c r="B14" s="394"/>
      <c r="C14" s="11"/>
      <c r="D14" s="341"/>
      <c r="E14" s="199" t="s">
        <v>63</v>
      </c>
      <c r="F14" s="96" t="s">
        <v>64</v>
      </c>
      <c r="G14" s="105" t="s">
        <v>65</v>
      </c>
    </row>
    <row r="15" spans="1:7" ht="19.5" customHeight="1">
      <c r="A15" s="80">
        <v>11</v>
      </c>
      <c r="B15" s="394"/>
      <c r="C15" s="11"/>
      <c r="D15" s="235"/>
      <c r="E15" s="199" t="s">
        <v>669</v>
      </c>
      <c r="F15" s="192" t="s">
        <v>670</v>
      </c>
      <c r="G15" s="192">
        <v>40270</v>
      </c>
    </row>
    <row r="16" spans="1:7" ht="19.5" customHeight="1">
      <c r="A16" s="80">
        <v>12</v>
      </c>
      <c r="B16" s="394"/>
      <c r="C16" s="11"/>
      <c r="D16" s="341"/>
      <c r="E16" s="396" t="s">
        <v>860</v>
      </c>
      <c r="F16" s="104" t="s">
        <v>861</v>
      </c>
      <c r="G16" s="96" t="s">
        <v>862</v>
      </c>
    </row>
    <row r="17" spans="1:7" ht="19.5" customHeight="1">
      <c r="A17" s="80">
        <v>13</v>
      </c>
      <c r="B17" s="394"/>
      <c r="C17" s="11"/>
      <c r="D17" s="235"/>
      <c r="E17" s="255" t="s">
        <v>283</v>
      </c>
      <c r="F17" s="191" t="s">
        <v>284</v>
      </c>
      <c r="G17" s="192">
        <v>40135</v>
      </c>
    </row>
    <row r="18" spans="1:7" ht="19.5" customHeight="1">
      <c r="A18" s="80">
        <v>14</v>
      </c>
      <c r="B18" s="394"/>
      <c r="C18" s="11"/>
      <c r="D18" s="341"/>
      <c r="E18" s="255" t="s">
        <v>172</v>
      </c>
      <c r="F18" s="191" t="s">
        <v>171</v>
      </c>
      <c r="G18" s="197">
        <v>40027</v>
      </c>
    </row>
    <row r="19" spans="1:7" ht="19.5" customHeight="1">
      <c r="A19" s="80">
        <v>15</v>
      </c>
      <c r="B19" s="394"/>
      <c r="C19" s="11"/>
      <c r="D19" s="235"/>
      <c r="E19" s="311" t="s">
        <v>174</v>
      </c>
      <c r="F19" s="96" t="s">
        <v>173</v>
      </c>
      <c r="G19" s="96">
        <v>40206</v>
      </c>
    </row>
    <row r="20" spans="1:7" ht="19.5" customHeight="1">
      <c r="A20" s="80">
        <v>16</v>
      </c>
      <c r="B20" s="394"/>
      <c r="C20" s="11"/>
      <c r="D20" s="341"/>
      <c r="E20" s="396" t="s">
        <v>881</v>
      </c>
      <c r="F20" s="104" t="s">
        <v>366</v>
      </c>
      <c r="G20" s="96">
        <v>40040</v>
      </c>
    </row>
    <row r="21" spans="1:7" ht="19.5" customHeight="1">
      <c r="A21" s="80">
        <v>17</v>
      </c>
      <c r="B21" s="394"/>
      <c r="C21" s="11"/>
      <c r="D21" s="235"/>
      <c r="E21" s="396" t="s">
        <v>360</v>
      </c>
      <c r="F21" s="104" t="s">
        <v>361</v>
      </c>
      <c r="G21" s="96">
        <v>40250</v>
      </c>
    </row>
    <row r="22" spans="1:7" ht="19.5" customHeight="1">
      <c r="A22" s="80">
        <v>18</v>
      </c>
      <c r="B22" s="394"/>
      <c r="C22" s="11"/>
      <c r="D22" s="341"/>
      <c r="E22" s="255" t="s">
        <v>362</v>
      </c>
      <c r="F22" s="191" t="s">
        <v>363</v>
      </c>
      <c r="G22" s="192">
        <v>40002</v>
      </c>
    </row>
    <row r="23" spans="1:7" ht="19.5" customHeight="1">
      <c r="A23" s="80">
        <v>19</v>
      </c>
      <c r="B23" s="394"/>
      <c r="C23" s="11"/>
      <c r="D23" s="341"/>
      <c r="E23" s="255" t="s">
        <v>186</v>
      </c>
      <c r="F23" s="191" t="s">
        <v>183</v>
      </c>
      <c r="G23" s="192">
        <v>40351</v>
      </c>
    </row>
    <row r="24" spans="1:7" ht="19.5" customHeight="1">
      <c r="A24" s="80">
        <v>20</v>
      </c>
      <c r="B24" s="394"/>
      <c r="C24" s="11"/>
      <c r="D24" s="235"/>
      <c r="E24" s="396" t="s">
        <v>685</v>
      </c>
      <c r="F24" s="104" t="s">
        <v>686</v>
      </c>
      <c r="G24" s="96">
        <v>39425</v>
      </c>
    </row>
    <row r="25" spans="1:7" ht="19.5" customHeight="1">
      <c r="A25" s="80">
        <v>21</v>
      </c>
      <c r="B25" s="394"/>
      <c r="C25" s="11"/>
      <c r="D25" s="341"/>
      <c r="E25" s="255" t="s">
        <v>367</v>
      </c>
      <c r="F25" s="191" t="s">
        <v>368</v>
      </c>
      <c r="G25" s="192">
        <v>40093</v>
      </c>
    </row>
    <row r="26" spans="1:7" ht="19.5" customHeight="1">
      <c r="A26" s="80">
        <v>22</v>
      </c>
      <c r="B26" s="394"/>
      <c r="C26" s="11"/>
      <c r="D26" s="235"/>
      <c r="E26" s="311" t="s">
        <v>426</v>
      </c>
      <c r="F26" s="96" t="s">
        <v>185</v>
      </c>
      <c r="G26" s="96">
        <v>40063</v>
      </c>
    </row>
    <row r="27" spans="1:7" ht="19.5" customHeight="1">
      <c r="A27" s="80">
        <v>23</v>
      </c>
      <c r="B27" s="394"/>
      <c r="C27" s="11"/>
      <c r="D27" s="341"/>
      <c r="E27" s="199" t="s">
        <v>369</v>
      </c>
      <c r="F27" s="193" t="s">
        <v>370</v>
      </c>
      <c r="G27" s="193">
        <v>39239</v>
      </c>
    </row>
    <row r="28" spans="1:7" ht="19.5" customHeight="1">
      <c r="A28" s="80">
        <v>24</v>
      </c>
      <c r="B28" s="394"/>
      <c r="C28" s="11"/>
      <c r="D28" s="341"/>
      <c r="E28" s="396" t="s">
        <v>242</v>
      </c>
      <c r="F28" s="104" t="s">
        <v>243</v>
      </c>
      <c r="G28" s="96">
        <v>40233</v>
      </c>
    </row>
    <row r="29" spans="1:7" ht="19.5" customHeight="1">
      <c r="A29" s="80">
        <v>25</v>
      </c>
      <c r="B29" s="394"/>
      <c r="C29" s="11"/>
      <c r="D29" s="235"/>
      <c r="E29" s="199" t="s">
        <v>373</v>
      </c>
      <c r="F29" s="192" t="s">
        <v>374</v>
      </c>
      <c r="G29" s="192">
        <v>40359</v>
      </c>
    </row>
    <row r="30" spans="1:7" ht="19.5" customHeight="1">
      <c r="A30" s="80">
        <v>26</v>
      </c>
      <c r="B30" s="394"/>
      <c r="C30" s="11"/>
      <c r="D30" s="341"/>
      <c r="E30" s="395" t="s">
        <v>403</v>
      </c>
      <c r="F30" s="193" t="s">
        <v>194</v>
      </c>
      <c r="G30" s="193">
        <v>39966</v>
      </c>
    </row>
    <row r="31" spans="1:7" ht="19.5" customHeight="1">
      <c r="A31" s="80">
        <v>27</v>
      </c>
      <c r="B31" s="394"/>
      <c r="C31" s="11"/>
      <c r="D31" s="235"/>
      <c r="E31" s="199" t="s">
        <v>248</v>
      </c>
      <c r="F31" s="192" t="s">
        <v>249</v>
      </c>
      <c r="G31" s="192">
        <v>40108</v>
      </c>
    </row>
    <row r="32" spans="1:7" ht="19.5" customHeight="1">
      <c r="A32" s="80">
        <v>28</v>
      </c>
      <c r="B32" s="394"/>
      <c r="C32" s="11"/>
      <c r="D32" s="341"/>
      <c r="E32" s="255" t="s">
        <v>204</v>
      </c>
      <c r="F32" s="191" t="s">
        <v>199</v>
      </c>
      <c r="G32" s="192">
        <v>40130</v>
      </c>
    </row>
    <row r="33" spans="1:7" ht="19.5" customHeight="1">
      <c r="A33" s="80">
        <v>29</v>
      </c>
      <c r="B33" s="394"/>
      <c r="C33" s="11"/>
      <c r="D33" s="235"/>
      <c r="E33" s="395" t="s">
        <v>250</v>
      </c>
      <c r="F33" s="193" t="s">
        <v>251</v>
      </c>
      <c r="G33" s="193">
        <v>40103</v>
      </c>
    </row>
    <row r="34" spans="1:7" ht="19.5" customHeight="1">
      <c r="A34" s="80">
        <v>30</v>
      </c>
      <c r="B34" s="394"/>
      <c r="C34" s="11"/>
      <c r="D34" s="235"/>
      <c r="E34" s="255" t="s">
        <v>462</v>
      </c>
      <c r="F34" s="191" t="s">
        <v>460</v>
      </c>
      <c r="G34" s="192" t="s">
        <v>461</v>
      </c>
    </row>
    <row r="35" spans="1:7" ht="19.5" customHeight="1">
      <c r="A35" s="80">
        <v>31</v>
      </c>
      <c r="B35" s="394"/>
      <c r="C35" s="11"/>
      <c r="D35" s="341"/>
      <c r="E35" s="255" t="s">
        <v>208</v>
      </c>
      <c r="F35" s="191" t="s">
        <v>202</v>
      </c>
      <c r="G35" s="192">
        <v>40309</v>
      </c>
    </row>
    <row r="36" spans="1:7" ht="19.5" customHeight="1">
      <c r="A36" s="80">
        <v>32</v>
      </c>
      <c r="B36" s="394"/>
      <c r="C36" s="11"/>
      <c r="D36" s="235"/>
      <c r="E36" s="199" t="s">
        <v>117</v>
      </c>
      <c r="F36" s="193" t="s">
        <v>118</v>
      </c>
      <c r="G36" s="193" t="s">
        <v>119</v>
      </c>
    </row>
    <row r="37" spans="1:7" ht="19.5" customHeight="1">
      <c r="A37" s="80">
        <v>33</v>
      </c>
      <c r="B37" s="394"/>
      <c r="C37" s="11"/>
      <c r="D37" s="341"/>
      <c r="E37" s="255" t="s">
        <v>316</v>
      </c>
      <c r="F37" s="191" t="s">
        <v>317</v>
      </c>
      <c r="G37" s="192">
        <v>40198</v>
      </c>
    </row>
    <row r="38" spans="1:7" ht="19.5" customHeight="1">
      <c r="A38" s="80">
        <v>34</v>
      </c>
      <c r="B38" s="394"/>
      <c r="C38" s="11"/>
      <c r="D38" s="235"/>
      <c r="E38" s="255" t="s">
        <v>123</v>
      </c>
      <c r="F38" s="191" t="s">
        <v>124</v>
      </c>
      <c r="G38" s="192" t="s">
        <v>125</v>
      </c>
    </row>
    <row r="39" spans="1:7" ht="19.5" customHeight="1">
      <c r="A39" s="80">
        <v>35</v>
      </c>
      <c r="B39" s="394"/>
      <c r="C39" s="11"/>
      <c r="D39" s="341"/>
      <c r="E39" s="255" t="s">
        <v>126</v>
      </c>
      <c r="F39" s="191" t="s">
        <v>127</v>
      </c>
      <c r="G39" s="192" t="s">
        <v>128</v>
      </c>
    </row>
    <row r="40" spans="1:7" ht="19.5" customHeight="1">
      <c r="A40" s="80">
        <v>36</v>
      </c>
      <c r="B40" s="394"/>
      <c r="C40" s="11"/>
      <c r="D40" s="235"/>
      <c r="E40" s="255" t="s">
        <v>252</v>
      </c>
      <c r="F40" s="191" t="s">
        <v>253</v>
      </c>
      <c r="G40" s="192">
        <v>40266</v>
      </c>
    </row>
    <row r="41" spans="1:7" ht="19.5" customHeight="1">
      <c r="A41" s="80">
        <v>37</v>
      </c>
      <c r="B41" s="394"/>
      <c r="C41" s="11"/>
      <c r="D41" s="341"/>
      <c r="E41" s="199" t="s">
        <v>129</v>
      </c>
      <c r="F41" s="192" t="s">
        <v>130</v>
      </c>
      <c r="G41" s="192" t="s">
        <v>131</v>
      </c>
    </row>
    <row r="42" spans="1:7" ht="19.5" customHeight="1">
      <c r="A42" s="80">
        <v>38</v>
      </c>
      <c r="B42" s="394"/>
      <c r="C42" s="11"/>
      <c r="D42" s="235"/>
      <c r="E42" s="199" t="s">
        <v>132</v>
      </c>
      <c r="F42" s="192" t="s">
        <v>133</v>
      </c>
      <c r="G42" s="192" t="s">
        <v>134</v>
      </c>
    </row>
    <row r="43" spans="1:7" ht="19.5" customHeight="1">
      <c r="A43" s="80">
        <v>39</v>
      </c>
      <c r="B43" s="394"/>
      <c r="C43" s="11"/>
      <c r="D43" s="341"/>
      <c r="E43" s="199" t="s">
        <v>863</v>
      </c>
      <c r="F43" s="193" t="s">
        <v>864</v>
      </c>
      <c r="G43" s="193" t="s">
        <v>865</v>
      </c>
    </row>
    <row r="44" spans="1:7" ht="19.5" customHeight="1">
      <c r="A44" s="80">
        <v>40</v>
      </c>
      <c r="B44" s="394"/>
      <c r="C44" s="11"/>
      <c r="D44" s="235"/>
      <c r="E44" s="397" t="s">
        <v>321</v>
      </c>
      <c r="F44" s="105" t="s">
        <v>322</v>
      </c>
      <c r="G44" s="105">
        <v>40309</v>
      </c>
    </row>
    <row r="45" spans="1:7" ht="19.5" customHeight="1">
      <c r="A45" s="80">
        <v>41</v>
      </c>
      <c r="B45" s="394"/>
      <c r="C45" s="83"/>
      <c r="D45" s="132"/>
      <c r="E45" s="199" t="s">
        <v>416</v>
      </c>
      <c r="F45" s="105" t="s">
        <v>387</v>
      </c>
      <c r="G45" s="105">
        <v>40168</v>
      </c>
    </row>
    <row r="46" spans="1:7" ht="19.5" customHeight="1">
      <c r="A46" s="80">
        <v>42</v>
      </c>
      <c r="B46" s="394"/>
      <c r="C46" s="125"/>
      <c r="D46" s="408"/>
      <c r="E46" s="255" t="s">
        <v>323</v>
      </c>
      <c r="F46" s="191" t="s">
        <v>324</v>
      </c>
      <c r="G46" s="192">
        <v>40041</v>
      </c>
    </row>
    <row r="47" spans="1:7" ht="19.5" customHeight="1">
      <c r="A47" s="80">
        <v>43</v>
      </c>
      <c r="B47" s="394"/>
      <c r="C47" s="125"/>
      <c r="D47" s="408"/>
      <c r="E47" s="395" t="s">
        <v>693</v>
      </c>
      <c r="F47" s="105" t="s">
        <v>694</v>
      </c>
      <c r="G47" s="105">
        <v>39951</v>
      </c>
    </row>
    <row r="48" spans="1:7" ht="19.5" customHeight="1">
      <c r="A48" s="80">
        <v>44</v>
      </c>
      <c r="B48" s="394"/>
      <c r="C48" s="99"/>
      <c r="D48" s="407"/>
      <c r="E48" s="395" t="s">
        <v>1293</v>
      </c>
      <c r="F48" s="193" t="s">
        <v>1294</v>
      </c>
      <c r="G48" s="193">
        <v>40078</v>
      </c>
    </row>
    <row r="49" spans="1:7" ht="19.5" customHeight="1" thickBot="1">
      <c r="A49" s="450">
        <v>45</v>
      </c>
      <c r="B49" s="451"/>
      <c r="C49" s="452"/>
      <c r="D49" s="453"/>
      <c r="E49" s="636" t="s">
        <v>218</v>
      </c>
      <c r="F49" s="637" t="s">
        <v>213</v>
      </c>
      <c r="G49" s="637">
        <v>39948</v>
      </c>
    </row>
    <row r="50" spans="1:7" ht="19.5" customHeight="1" thickBot="1">
      <c r="A50" s="295">
        <v>46</v>
      </c>
      <c r="B50" s="454"/>
      <c r="C50" s="455"/>
      <c r="D50" s="456"/>
      <c r="E50" s="635" t="s">
        <v>150</v>
      </c>
      <c r="F50" s="601" t="s">
        <v>151</v>
      </c>
      <c r="G50" s="601" t="s">
        <v>152</v>
      </c>
    </row>
    <row r="51" spans="1:7" ht="19.5" customHeight="1" thickBot="1">
      <c r="A51" s="110" t="s">
        <v>10</v>
      </c>
      <c r="B51" s="229"/>
      <c r="C51" s="111"/>
      <c r="D51" s="706" t="s">
        <v>1886</v>
      </c>
      <c r="E51" s="675"/>
      <c r="F51" s="676" t="s">
        <v>11</v>
      </c>
      <c r="G51" s="677"/>
    </row>
    <row r="52" spans="1:7" ht="19.5" customHeight="1">
      <c r="A52" s="718"/>
      <c r="B52" s="679"/>
      <c r="C52" s="679"/>
      <c r="D52" s="679"/>
      <c r="E52" s="679"/>
      <c r="F52" s="679"/>
      <c r="G52" s="680"/>
    </row>
    <row r="53" spans="1:7" ht="19.5" customHeight="1">
      <c r="A53" s="681"/>
      <c r="B53" s="682"/>
      <c r="C53" s="682"/>
      <c r="D53" s="682"/>
      <c r="E53" s="682"/>
      <c r="F53" s="682"/>
      <c r="G53" s="683"/>
    </row>
  </sheetData>
  <sortState xmlns:xlrd2="http://schemas.microsoft.com/office/spreadsheetml/2017/richdata2" ref="E5:G50">
    <sortCondition ref="E5:E50"/>
  </sortState>
  <mergeCells count="11">
    <mergeCell ref="F3:F4"/>
    <mergeCell ref="D51:E51"/>
    <mergeCell ref="F51:G51"/>
    <mergeCell ref="A52:G53"/>
    <mergeCell ref="A1:D1"/>
    <mergeCell ref="E1:G1"/>
    <mergeCell ref="A2:G2"/>
    <mergeCell ref="A3:A4"/>
    <mergeCell ref="B3:B4"/>
    <mergeCell ref="C3:D3"/>
    <mergeCell ref="G3:G4"/>
  </mergeCells>
  <phoneticPr fontId="16" type="noConversion"/>
  <conditionalFormatting sqref="E5:E7">
    <cfRule type="cellIs" dxfId="36" priority="28" stopIfTrue="1" operator="between">
      <formula>1</formula>
      <formula>3.9</formula>
    </cfRule>
  </conditionalFormatting>
  <conditionalFormatting sqref="E14:E22">
    <cfRule type="cellIs" dxfId="35" priority="19" stopIfTrue="1" operator="between">
      <formula>1</formula>
      <formula>3.9</formula>
    </cfRule>
  </conditionalFormatting>
  <conditionalFormatting sqref="E24:E26">
    <cfRule type="cellIs" dxfId="34" priority="16" stopIfTrue="1" operator="between">
      <formula>1</formula>
      <formula>3.9</formula>
    </cfRule>
  </conditionalFormatting>
  <conditionalFormatting sqref="E28:E31">
    <cfRule type="cellIs" dxfId="33" priority="12" stopIfTrue="1" operator="between">
      <formula>1</formula>
      <formula>3.9</formula>
    </cfRule>
  </conditionalFormatting>
  <conditionalFormatting sqref="E33:E35">
    <cfRule type="cellIs" dxfId="32" priority="9" stopIfTrue="1" operator="between">
      <formula>1</formula>
      <formula>3.9</formula>
    </cfRule>
  </conditionalFormatting>
  <conditionalFormatting sqref="E40:E47">
    <cfRule type="cellIs" dxfId="31" priority="1" stopIfTrue="1" operator="between">
      <formula>1</formula>
      <formula>3.9</formula>
    </cfRule>
  </conditionalFormatting>
  <pageMargins left="0.16" right="0.15748031496062992" top="0.42" bottom="0.15748031496062992" header="0" footer="0"/>
  <pageSetup scale="70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pageSetUpPr fitToPage="1"/>
  </sheetPr>
  <dimension ref="A1:J55"/>
  <sheetViews>
    <sheetView showGridLines="0" topLeftCell="A38" zoomScaleNormal="100" workbookViewId="0">
      <selection activeCell="E29" sqref="E29"/>
    </sheetView>
  </sheetViews>
  <sheetFormatPr baseColWidth="10" defaultColWidth="12.5703125" defaultRowHeight="15" customHeight="1"/>
  <cols>
    <col min="1" max="2" width="5.7109375" customWidth="1"/>
    <col min="3" max="3" width="10.7109375" customWidth="1"/>
    <col min="4" max="4" width="14.28515625" customWidth="1"/>
    <col min="5" max="5" width="60.7109375" customWidth="1"/>
    <col min="6" max="7" width="14.7109375" customWidth="1"/>
    <col min="8" max="10" width="11.42578125" customWidth="1"/>
    <col min="11" max="26" width="10.5703125" customWidth="1"/>
  </cols>
  <sheetData>
    <row r="1" spans="1:8" ht="72.75" customHeight="1" thickBot="1">
      <c r="A1" s="684"/>
      <c r="B1" s="685"/>
      <c r="C1" s="685"/>
      <c r="D1" s="685"/>
      <c r="E1" s="686" t="s">
        <v>0</v>
      </c>
      <c r="F1" s="685"/>
      <c r="G1" s="687"/>
      <c r="H1" s="2"/>
    </row>
    <row r="2" spans="1:8" ht="19.5" customHeight="1" thickBot="1">
      <c r="A2" s="723" t="s">
        <v>1343</v>
      </c>
      <c r="B2" s="685"/>
      <c r="C2" s="685"/>
      <c r="D2" s="685"/>
      <c r="E2" s="685"/>
      <c r="F2" s="700"/>
      <c r="G2" s="687"/>
      <c r="H2" s="2"/>
    </row>
    <row r="3" spans="1:8" ht="19.5" customHeight="1">
      <c r="A3" s="691" t="s">
        <v>2</v>
      </c>
      <c r="B3" s="691" t="s">
        <v>3</v>
      </c>
      <c r="C3" s="713" t="s">
        <v>4</v>
      </c>
      <c r="D3" s="714"/>
      <c r="E3" s="398" t="s">
        <v>1351</v>
      </c>
      <c r="F3" s="702" t="s">
        <v>5</v>
      </c>
      <c r="G3" s="672" t="s">
        <v>6</v>
      </c>
      <c r="H3" s="16"/>
    </row>
    <row r="4" spans="1:8" ht="19.5" customHeight="1" thickBot="1">
      <c r="A4" s="673"/>
      <c r="B4" s="673"/>
      <c r="C4" s="5" t="s">
        <v>7</v>
      </c>
      <c r="D4" s="5" t="s">
        <v>8</v>
      </c>
      <c r="E4" s="399" t="s">
        <v>9</v>
      </c>
      <c r="F4" s="703"/>
      <c r="G4" s="680"/>
      <c r="H4" s="16"/>
    </row>
    <row r="5" spans="1:8" ht="19.5" customHeight="1">
      <c r="A5" s="89">
        <v>1</v>
      </c>
      <c r="B5" s="108"/>
      <c r="C5" s="87"/>
      <c r="D5" s="391"/>
      <c r="E5" s="545" t="s">
        <v>327</v>
      </c>
      <c r="F5" s="548" t="s">
        <v>328</v>
      </c>
      <c r="G5" s="258">
        <v>40049</v>
      </c>
      <c r="H5" s="8"/>
    </row>
    <row r="6" spans="1:8" ht="19.5" customHeight="1">
      <c r="A6" s="98">
        <v>2</v>
      </c>
      <c r="B6" s="109"/>
      <c r="C6" s="88"/>
      <c r="D6" s="375"/>
      <c r="E6" s="311" t="s">
        <v>222</v>
      </c>
      <c r="F6" s="96" t="s">
        <v>223</v>
      </c>
      <c r="G6" s="105">
        <v>40127</v>
      </c>
      <c r="H6" s="8"/>
    </row>
    <row r="7" spans="1:8" ht="19.5" customHeight="1">
      <c r="A7" s="98">
        <v>3</v>
      </c>
      <c r="B7" s="109"/>
      <c r="C7" s="88"/>
      <c r="D7" s="235"/>
      <c r="E7" s="396" t="s">
        <v>430</v>
      </c>
      <c r="F7" s="244" t="s">
        <v>431</v>
      </c>
      <c r="G7" s="96">
        <v>40023</v>
      </c>
      <c r="H7" s="8"/>
    </row>
    <row r="8" spans="1:8" ht="19.5" customHeight="1">
      <c r="A8" s="98">
        <v>4</v>
      </c>
      <c r="B8" s="109"/>
      <c r="C8" s="88"/>
      <c r="D8" s="235"/>
      <c r="E8" s="395" t="s">
        <v>271</v>
      </c>
      <c r="F8" s="402" t="s">
        <v>272</v>
      </c>
      <c r="G8" s="193">
        <v>40240</v>
      </c>
      <c r="H8" s="8"/>
    </row>
    <row r="9" spans="1:8" ht="19.5" customHeight="1">
      <c r="A9" s="98">
        <v>5</v>
      </c>
      <c r="B9" s="109"/>
      <c r="C9" s="88"/>
      <c r="D9" s="235"/>
      <c r="E9" s="396" t="s">
        <v>468</v>
      </c>
      <c r="F9" s="244" t="s">
        <v>467</v>
      </c>
      <c r="G9" s="96" t="s">
        <v>1852</v>
      </c>
      <c r="H9" s="8"/>
    </row>
    <row r="10" spans="1:8" ht="19.5" customHeight="1">
      <c r="A10" s="98">
        <v>6</v>
      </c>
      <c r="B10" s="109"/>
      <c r="C10" s="88"/>
      <c r="D10" s="235"/>
      <c r="E10" s="311" t="s">
        <v>681</v>
      </c>
      <c r="F10" s="248" t="s">
        <v>56</v>
      </c>
      <c r="G10" s="96">
        <v>40033</v>
      </c>
      <c r="H10" s="8"/>
    </row>
    <row r="11" spans="1:8" ht="19.5" customHeight="1">
      <c r="A11" s="98">
        <v>7</v>
      </c>
      <c r="B11" s="109"/>
      <c r="C11" s="88"/>
      <c r="D11" s="235"/>
      <c r="E11" s="311" t="s">
        <v>331</v>
      </c>
      <c r="F11" s="248" t="s">
        <v>332</v>
      </c>
      <c r="G11" s="96">
        <v>40156</v>
      </c>
      <c r="H11" s="8"/>
    </row>
    <row r="12" spans="1:8" ht="19.5" customHeight="1">
      <c r="A12" s="98">
        <v>8</v>
      </c>
      <c r="B12" s="109"/>
      <c r="C12" s="88"/>
      <c r="D12" s="235"/>
      <c r="E12" s="311" t="s">
        <v>335</v>
      </c>
      <c r="F12" s="248" t="s">
        <v>336</v>
      </c>
      <c r="G12" s="96">
        <v>40083</v>
      </c>
      <c r="H12" s="8"/>
    </row>
    <row r="13" spans="1:8" ht="19.5" customHeight="1">
      <c r="A13" s="98">
        <v>9</v>
      </c>
      <c r="B13" s="109"/>
      <c r="C13" s="88"/>
      <c r="D13" s="235"/>
      <c r="E13" s="199" t="s">
        <v>274</v>
      </c>
      <c r="F13" s="251" t="s">
        <v>275</v>
      </c>
      <c r="G13" s="192">
        <v>40102</v>
      </c>
      <c r="H13" s="8"/>
    </row>
    <row r="14" spans="1:8" ht="19.5" customHeight="1">
      <c r="A14" s="98">
        <v>10</v>
      </c>
      <c r="B14" s="109"/>
      <c r="C14" s="88"/>
      <c r="D14" s="375"/>
      <c r="E14" s="396" t="s">
        <v>158</v>
      </c>
      <c r="F14" s="244" t="s">
        <v>159</v>
      </c>
      <c r="G14" s="96">
        <v>39933</v>
      </c>
      <c r="H14" s="8"/>
    </row>
    <row r="15" spans="1:8" ht="19.5" customHeight="1">
      <c r="A15" s="98">
        <v>11</v>
      </c>
      <c r="B15" s="109"/>
      <c r="C15" s="88"/>
      <c r="D15" s="235"/>
      <c r="E15" s="483" t="s">
        <v>889</v>
      </c>
      <c r="F15" s="429" t="s">
        <v>343</v>
      </c>
      <c r="G15" s="96">
        <v>40070</v>
      </c>
      <c r="H15" s="8"/>
    </row>
    <row r="16" spans="1:8" ht="19.5" customHeight="1">
      <c r="A16" s="98">
        <v>12</v>
      </c>
      <c r="B16" s="109"/>
      <c r="C16" s="88"/>
      <c r="D16" s="235" t="s">
        <v>1353</v>
      </c>
      <c r="E16" s="457" t="s">
        <v>1354</v>
      </c>
      <c r="F16" s="532" t="s">
        <v>1355</v>
      </c>
      <c r="G16" s="458">
        <v>39848</v>
      </c>
      <c r="H16" s="8"/>
    </row>
    <row r="17" spans="1:10" ht="19.5" customHeight="1">
      <c r="A17" s="98">
        <v>13</v>
      </c>
      <c r="B17" s="109"/>
      <c r="C17" s="88"/>
      <c r="D17" s="375"/>
      <c r="E17" s="255" t="s">
        <v>689</v>
      </c>
      <c r="F17" s="252" t="s">
        <v>690</v>
      </c>
      <c r="G17" s="192">
        <v>40179</v>
      </c>
      <c r="H17" s="8"/>
      <c r="I17" s="14"/>
      <c r="J17" s="14"/>
    </row>
    <row r="18" spans="1:10" ht="19.5" customHeight="1">
      <c r="A18" s="98">
        <v>14</v>
      </c>
      <c r="B18" s="109"/>
      <c r="C18" s="88"/>
      <c r="D18" s="235"/>
      <c r="E18" s="396" t="s">
        <v>170</v>
      </c>
      <c r="F18" s="244" t="s">
        <v>169</v>
      </c>
      <c r="G18" s="96">
        <v>40212</v>
      </c>
      <c r="H18" s="8"/>
      <c r="I18" s="14"/>
      <c r="J18" s="14"/>
    </row>
    <row r="19" spans="1:10" ht="19.5" customHeight="1">
      <c r="A19" s="98">
        <v>15</v>
      </c>
      <c r="B19" s="109"/>
      <c r="C19" s="88"/>
      <c r="D19" s="375"/>
      <c r="E19" s="199" t="s">
        <v>459</v>
      </c>
      <c r="F19" s="402" t="s">
        <v>282</v>
      </c>
      <c r="G19" s="193">
        <v>40031</v>
      </c>
      <c r="H19" s="8"/>
      <c r="I19" s="14"/>
      <c r="J19" s="14"/>
    </row>
    <row r="20" spans="1:10" ht="19.5" customHeight="1">
      <c r="A20" s="98">
        <v>16</v>
      </c>
      <c r="B20" s="109"/>
      <c r="C20" s="88"/>
      <c r="D20" s="235"/>
      <c r="E20" s="255" t="s">
        <v>444</v>
      </c>
      <c r="F20" s="252" t="s">
        <v>445</v>
      </c>
      <c r="G20" s="192">
        <v>40144</v>
      </c>
      <c r="H20" s="8"/>
      <c r="I20" s="14"/>
      <c r="J20" s="14"/>
    </row>
    <row r="21" spans="1:10" ht="19.5" customHeight="1">
      <c r="A21" s="98">
        <v>17</v>
      </c>
      <c r="B21" s="109"/>
      <c r="C21" s="88"/>
      <c r="D21" s="235"/>
      <c r="E21" s="396" t="s">
        <v>69</v>
      </c>
      <c r="F21" s="244" t="s">
        <v>70</v>
      </c>
      <c r="G21" s="96">
        <v>40189</v>
      </c>
      <c r="H21" s="8"/>
      <c r="I21" s="14"/>
      <c r="J21" s="14"/>
    </row>
    <row r="22" spans="1:10" ht="19.5" customHeight="1">
      <c r="A22" s="98">
        <v>18</v>
      </c>
      <c r="B22" s="109"/>
      <c r="C22" s="88"/>
      <c r="D22" s="235"/>
      <c r="E22" s="396" t="s">
        <v>415</v>
      </c>
      <c r="F22" s="244" t="s">
        <v>293</v>
      </c>
      <c r="G22" s="96">
        <v>40106</v>
      </c>
      <c r="H22" s="8"/>
      <c r="I22" s="14"/>
      <c r="J22" s="14"/>
    </row>
    <row r="23" spans="1:10" ht="19.5" customHeight="1">
      <c r="A23" s="98">
        <v>19</v>
      </c>
      <c r="B23" s="109"/>
      <c r="C23" s="88"/>
      <c r="D23" s="375"/>
      <c r="E23" s="396" t="s">
        <v>350</v>
      </c>
      <c r="F23" s="244" t="s">
        <v>351</v>
      </c>
      <c r="G23" s="96">
        <v>40156</v>
      </c>
      <c r="H23" s="8"/>
      <c r="I23" s="14"/>
      <c r="J23" s="14"/>
    </row>
    <row r="24" spans="1:10" ht="19.5" customHeight="1">
      <c r="A24" s="98">
        <v>20</v>
      </c>
      <c r="B24" s="109"/>
      <c r="C24" s="88"/>
      <c r="D24" s="235"/>
      <c r="E24" s="396" t="s">
        <v>352</v>
      </c>
      <c r="F24" s="244" t="s">
        <v>353</v>
      </c>
      <c r="G24" s="100">
        <v>40081</v>
      </c>
      <c r="H24" s="222"/>
      <c r="I24" s="14"/>
      <c r="J24" s="14"/>
    </row>
    <row r="25" spans="1:10" ht="19.5" customHeight="1">
      <c r="A25" s="98">
        <v>21</v>
      </c>
      <c r="B25" s="109"/>
      <c r="C25" s="88"/>
      <c r="D25" s="375"/>
      <c r="E25" s="396" t="s">
        <v>285</v>
      </c>
      <c r="F25" s="244" t="s">
        <v>286</v>
      </c>
      <c r="G25" s="96">
        <v>40033</v>
      </c>
      <c r="H25" s="222"/>
      <c r="I25" s="14"/>
    </row>
    <row r="26" spans="1:10" ht="19.5" customHeight="1">
      <c r="A26" s="98">
        <v>22</v>
      </c>
      <c r="B26" s="109"/>
      <c r="C26" s="88"/>
      <c r="D26" s="235"/>
      <c r="E26" s="255" t="s">
        <v>287</v>
      </c>
      <c r="F26" s="252" t="s">
        <v>288</v>
      </c>
      <c r="G26" s="192">
        <v>40055</v>
      </c>
      <c r="H26" s="222"/>
      <c r="I26" s="14"/>
      <c r="J26" s="14"/>
    </row>
    <row r="27" spans="1:10" ht="19.5" customHeight="1">
      <c r="A27" s="98">
        <v>23</v>
      </c>
      <c r="B27" s="109"/>
      <c r="C27" s="88"/>
      <c r="D27" s="375"/>
      <c r="E27" s="395" t="s">
        <v>446</v>
      </c>
      <c r="F27" s="402" t="s">
        <v>447</v>
      </c>
      <c r="G27" s="193" t="s">
        <v>448</v>
      </c>
      <c r="H27" s="222"/>
      <c r="I27" s="14"/>
      <c r="J27" s="14"/>
    </row>
    <row r="28" spans="1:10" ht="19.5" customHeight="1">
      <c r="A28" s="98">
        <v>24</v>
      </c>
      <c r="B28" s="109"/>
      <c r="C28" s="88"/>
      <c r="D28" s="235"/>
      <c r="E28" s="199" t="s">
        <v>440</v>
      </c>
      <c r="F28" s="251" t="s">
        <v>441</v>
      </c>
      <c r="G28" s="192" t="s">
        <v>442</v>
      </c>
      <c r="H28" s="222"/>
      <c r="I28" s="14"/>
      <c r="J28" s="14"/>
    </row>
    <row r="29" spans="1:10" ht="19.5" customHeight="1">
      <c r="A29" s="98">
        <v>25</v>
      </c>
      <c r="B29" s="109"/>
      <c r="C29" s="88"/>
      <c r="D29" s="375"/>
      <c r="E29" s="396" t="s">
        <v>289</v>
      </c>
      <c r="F29" s="244" t="s">
        <v>290</v>
      </c>
      <c r="G29" s="96">
        <v>39627</v>
      </c>
      <c r="H29" s="8"/>
      <c r="I29" s="14"/>
      <c r="J29" s="14" t="s">
        <v>12</v>
      </c>
    </row>
    <row r="30" spans="1:10" ht="19.5" customHeight="1">
      <c r="A30" s="98">
        <v>26</v>
      </c>
      <c r="B30" s="109"/>
      <c r="C30" s="88"/>
      <c r="D30" s="235"/>
      <c r="E30" s="397" t="s">
        <v>358</v>
      </c>
      <c r="F30" s="403" t="s">
        <v>359</v>
      </c>
      <c r="G30" s="105">
        <v>40035</v>
      </c>
      <c r="H30" s="8"/>
      <c r="I30" s="14"/>
      <c r="J30" s="14"/>
    </row>
    <row r="31" spans="1:10" ht="19.5" customHeight="1">
      <c r="A31" s="98">
        <v>27</v>
      </c>
      <c r="B31" s="109"/>
      <c r="C31" s="88"/>
      <c r="D31" s="235"/>
      <c r="E31" s="199" t="s">
        <v>418</v>
      </c>
      <c r="F31" s="251" t="s">
        <v>419</v>
      </c>
      <c r="G31" s="192">
        <v>40088</v>
      </c>
      <c r="H31" s="8"/>
      <c r="I31" s="14"/>
      <c r="J31" s="14"/>
    </row>
    <row r="32" spans="1:10" ht="19.5" customHeight="1">
      <c r="A32" s="98">
        <v>28</v>
      </c>
      <c r="B32" s="109"/>
      <c r="C32" s="88"/>
      <c r="D32" s="375"/>
      <c r="E32" s="255" t="s">
        <v>103</v>
      </c>
      <c r="F32" s="252" t="s">
        <v>104</v>
      </c>
      <c r="G32" s="192" t="s">
        <v>105</v>
      </c>
      <c r="H32" s="8"/>
      <c r="I32" s="14"/>
      <c r="J32" s="14"/>
    </row>
    <row r="33" spans="1:10" ht="19.5" customHeight="1">
      <c r="A33" s="98">
        <v>29</v>
      </c>
      <c r="B33" s="109"/>
      <c r="C33" s="88"/>
      <c r="D33" s="235"/>
      <c r="E33" s="311" t="s">
        <v>422</v>
      </c>
      <c r="F33" s="248" t="s">
        <v>423</v>
      </c>
      <c r="G33" s="96">
        <v>40201</v>
      </c>
      <c r="H33" s="8"/>
    </row>
    <row r="34" spans="1:10" ht="19.5" customHeight="1">
      <c r="A34" s="98">
        <v>30</v>
      </c>
      <c r="B34" s="109"/>
      <c r="C34" s="88"/>
      <c r="D34" s="375"/>
      <c r="E34" s="255" t="s">
        <v>1891</v>
      </c>
      <c r="F34" s="252" t="s">
        <v>101</v>
      </c>
      <c r="G34" s="192" t="s">
        <v>102</v>
      </c>
      <c r="H34" s="8"/>
    </row>
    <row r="35" spans="1:10" ht="19.5" customHeight="1">
      <c r="A35" s="98">
        <v>31</v>
      </c>
      <c r="B35" s="109"/>
      <c r="C35" s="88"/>
      <c r="D35" s="235"/>
      <c r="E35" s="255" t="s">
        <v>425</v>
      </c>
      <c r="F35" s="252" t="s">
        <v>298</v>
      </c>
      <c r="G35" s="192">
        <v>40196</v>
      </c>
      <c r="H35" s="8"/>
    </row>
    <row r="36" spans="1:10" ht="19.5" customHeight="1">
      <c r="A36" s="98">
        <v>32</v>
      </c>
      <c r="B36" s="109"/>
      <c r="C36" s="88"/>
      <c r="D36" s="375"/>
      <c r="E36" s="395" t="s">
        <v>189</v>
      </c>
      <c r="F36" s="402" t="s">
        <v>187</v>
      </c>
      <c r="G36" s="193">
        <v>40015</v>
      </c>
      <c r="H36" s="8"/>
    </row>
    <row r="37" spans="1:10" ht="19.5" customHeight="1">
      <c r="A37" s="98">
        <v>33</v>
      </c>
      <c r="B37" s="109"/>
      <c r="C37" s="88"/>
      <c r="D37" s="375"/>
      <c r="E37" s="199" t="s">
        <v>246</v>
      </c>
      <c r="F37" s="251" t="s">
        <v>247</v>
      </c>
      <c r="G37" s="192">
        <v>40032</v>
      </c>
      <c r="H37" s="8"/>
    </row>
    <row r="38" spans="1:10" ht="19.5" customHeight="1">
      <c r="A38" s="98">
        <v>34</v>
      </c>
      <c r="B38" s="109"/>
      <c r="C38" s="88"/>
      <c r="D38" s="375"/>
      <c r="E38" s="396" t="s">
        <v>201</v>
      </c>
      <c r="F38" s="244" t="s">
        <v>195</v>
      </c>
      <c r="G38" s="96">
        <v>40128</v>
      </c>
      <c r="H38" s="8"/>
    </row>
    <row r="39" spans="1:10" ht="19.5" customHeight="1">
      <c r="A39" s="98">
        <v>35</v>
      </c>
      <c r="B39" s="109"/>
      <c r="C39" s="88"/>
      <c r="D39" s="235"/>
      <c r="E39" s="255" t="s">
        <v>306</v>
      </c>
      <c r="F39" s="252" t="s">
        <v>307</v>
      </c>
      <c r="G39" s="192">
        <v>40053</v>
      </c>
      <c r="H39" s="8"/>
    </row>
    <row r="40" spans="1:10" ht="19.5" customHeight="1">
      <c r="A40" s="98">
        <v>36</v>
      </c>
      <c r="B40" s="109"/>
      <c r="C40" s="88"/>
      <c r="D40" s="375"/>
      <c r="E40" s="255" t="s">
        <v>206</v>
      </c>
      <c r="F40" s="252" t="s">
        <v>200</v>
      </c>
      <c r="G40" s="192">
        <v>40031</v>
      </c>
      <c r="H40" s="8"/>
    </row>
    <row r="41" spans="1:10" ht="19.5" customHeight="1">
      <c r="A41" s="98">
        <v>37</v>
      </c>
      <c r="B41" s="109"/>
      <c r="C41" s="88"/>
      <c r="D41" s="235"/>
      <c r="E41" s="311" t="s">
        <v>1335</v>
      </c>
      <c r="F41" s="248" t="s">
        <v>1336</v>
      </c>
      <c r="G41" s="96">
        <v>40146</v>
      </c>
      <c r="H41" s="8"/>
    </row>
    <row r="42" spans="1:10" ht="19.5" customHeight="1">
      <c r="A42" s="98">
        <v>38</v>
      </c>
      <c r="B42" s="109"/>
      <c r="C42" s="88"/>
      <c r="D42" s="375"/>
      <c r="E42" s="396" t="s">
        <v>312</v>
      </c>
      <c r="F42" s="244" t="s">
        <v>313</v>
      </c>
      <c r="G42" s="96">
        <v>40288</v>
      </c>
      <c r="H42" s="8"/>
      <c r="J42" t="s">
        <v>12</v>
      </c>
    </row>
    <row r="43" spans="1:10" ht="19.5" customHeight="1">
      <c r="A43" s="98">
        <v>39</v>
      </c>
      <c r="B43" s="109"/>
      <c r="C43" s="88"/>
      <c r="D43" s="235"/>
      <c r="E43" s="255" t="s">
        <v>383</v>
      </c>
      <c r="F43" s="252" t="s">
        <v>384</v>
      </c>
      <c r="G43" s="192">
        <v>39552</v>
      </c>
      <c r="H43" s="8"/>
    </row>
    <row r="44" spans="1:10" ht="19.5" customHeight="1">
      <c r="A44" s="98">
        <v>40</v>
      </c>
      <c r="B44" s="109"/>
      <c r="C44" s="88"/>
      <c r="D44" s="375"/>
      <c r="E44" s="395" t="s">
        <v>120</v>
      </c>
      <c r="F44" s="402" t="s">
        <v>121</v>
      </c>
      <c r="G44" s="193" t="s">
        <v>122</v>
      </c>
      <c r="H44" s="8"/>
    </row>
    <row r="45" spans="1:10" ht="19.5" customHeight="1">
      <c r="A45" s="98">
        <v>41</v>
      </c>
      <c r="B45" s="109"/>
      <c r="C45" s="88"/>
      <c r="D45" s="235"/>
      <c r="E45" s="395" t="s">
        <v>435</v>
      </c>
      <c r="F45" s="402" t="s">
        <v>436</v>
      </c>
      <c r="G45" s="193" t="s">
        <v>437</v>
      </c>
      <c r="H45" s="8"/>
    </row>
    <row r="46" spans="1:10" ht="19.5" customHeight="1">
      <c r="A46" s="98">
        <v>42</v>
      </c>
      <c r="B46" s="109"/>
      <c r="C46" s="88"/>
      <c r="D46" s="375"/>
      <c r="E46" s="255" t="s">
        <v>256</v>
      </c>
      <c r="F46" s="252" t="s">
        <v>257</v>
      </c>
      <c r="G46" s="192">
        <v>39953</v>
      </c>
      <c r="H46" s="8"/>
    </row>
    <row r="47" spans="1:10" ht="19.5" customHeight="1">
      <c r="A47" s="98">
        <v>43</v>
      </c>
      <c r="B47" s="109"/>
      <c r="C47" s="88"/>
      <c r="D47" s="235"/>
      <c r="E47" s="199" t="s">
        <v>258</v>
      </c>
      <c r="F47" s="251" t="s">
        <v>259</v>
      </c>
      <c r="G47" s="192">
        <v>39953</v>
      </c>
      <c r="H47" s="8"/>
    </row>
    <row r="48" spans="1:10" ht="19.5" customHeight="1">
      <c r="A48" s="98">
        <v>44</v>
      </c>
      <c r="B48" s="109"/>
      <c r="C48" s="88"/>
      <c r="D48" s="342"/>
      <c r="E48" s="395" t="s">
        <v>190</v>
      </c>
      <c r="F48" s="402" t="s">
        <v>221</v>
      </c>
      <c r="G48" s="192">
        <v>40140</v>
      </c>
      <c r="H48" s="8"/>
    </row>
    <row r="49" spans="1:8" ht="19.5" customHeight="1" thickBot="1">
      <c r="A49" s="90">
        <v>45</v>
      </c>
      <c r="B49" s="392"/>
      <c r="C49" s="141"/>
      <c r="D49" s="404"/>
      <c r="E49" s="546" t="s">
        <v>214</v>
      </c>
      <c r="F49" s="549" t="s">
        <v>210</v>
      </c>
      <c r="G49" s="551">
        <v>40014</v>
      </c>
      <c r="H49" s="8"/>
    </row>
    <row r="50" spans="1:8" ht="19.5" customHeight="1">
      <c r="A50" s="89">
        <v>46</v>
      </c>
      <c r="B50" s="108"/>
      <c r="C50" s="86"/>
      <c r="D50" s="405"/>
      <c r="E50" s="406" t="s">
        <v>394</v>
      </c>
      <c r="F50" s="334" t="s">
        <v>395</v>
      </c>
      <c r="G50" s="334">
        <v>39979</v>
      </c>
      <c r="H50" s="8"/>
    </row>
    <row r="51" spans="1:8" ht="19.5" customHeight="1">
      <c r="A51" s="539">
        <v>47</v>
      </c>
      <c r="B51" s="540"/>
      <c r="C51" s="125"/>
      <c r="D51" s="408"/>
      <c r="E51" s="401" t="s">
        <v>398</v>
      </c>
      <c r="F51" s="105" t="s">
        <v>399</v>
      </c>
      <c r="G51" s="103">
        <v>40083</v>
      </c>
      <c r="H51" s="8"/>
    </row>
    <row r="52" spans="1:8" ht="19.5" customHeight="1" thickBot="1">
      <c r="A52" s="98">
        <v>48</v>
      </c>
      <c r="B52" s="109"/>
      <c r="C52" s="99"/>
      <c r="D52" s="407"/>
      <c r="E52" s="547" t="s">
        <v>400</v>
      </c>
      <c r="F52" s="550" t="s">
        <v>401</v>
      </c>
      <c r="G52" s="219">
        <v>40152</v>
      </c>
      <c r="H52" s="8"/>
    </row>
    <row r="53" spans="1:8" ht="19.5" customHeight="1" thickBot="1">
      <c r="A53" s="110" t="s">
        <v>10</v>
      </c>
      <c r="B53" s="111"/>
      <c r="C53" s="111"/>
      <c r="D53" s="706" t="s">
        <v>1887</v>
      </c>
      <c r="E53" s="695"/>
      <c r="F53" s="676" t="s">
        <v>11</v>
      </c>
      <c r="G53" s="677"/>
      <c r="H53" s="9"/>
    </row>
    <row r="54" spans="1:8" ht="19.5" customHeight="1">
      <c r="A54" s="722" t="s">
        <v>13</v>
      </c>
      <c r="B54" s="679"/>
      <c r="C54" s="679"/>
      <c r="D54" s="679"/>
      <c r="E54" s="679"/>
      <c r="F54" s="679"/>
      <c r="G54" s="680"/>
      <c r="H54" s="2"/>
    </row>
    <row r="55" spans="1:8" ht="19.5" customHeight="1">
      <c r="A55" s="681"/>
      <c r="B55" s="682"/>
      <c r="C55" s="682"/>
      <c r="D55" s="682"/>
      <c r="E55" s="682"/>
      <c r="F55" s="682"/>
      <c r="G55" s="683"/>
      <c r="H55" s="2"/>
    </row>
  </sheetData>
  <sortState xmlns:xlrd2="http://schemas.microsoft.com/office/spreadsheetml/2017/richdata2" ref="E35:G35">
    <sortCondition ref="E34:E35"/>
  </sortState>
  <mergeCells count="11">
    <mergeCell ref="F3:F4"/>
    <mergeCell ref="D53:E53"/>
    <mergeCell ref="F53:G53"/>
    <mergeCell ref="A54:G55"/>
    <mergeCell ref="A1:D1"/>
    <mergeCell ref="E1:G1"/>
    <mergeCell ref="A2:G2"/>
    <mergeCell ref="A3:A4"/>
    <mergeCell ref="B3:B4"/>
    <mergeCell ref="C3:D3"/>
    <mergeCell ref="G3:G4"/>
  </mergeCells>
  <phoneticPr fontId="16" type="noConversion"/>
  <conditionalFormatting sqref="E5:E9">
    <cfRule type="cellIs" dxfId="30" priority="1" stopIfTrue="1" operator="between">
      <formula>1</formula>
      <formula>3.9</formula>
    </cfRule>
  </conditionalFormatting>
  <conditionalFormatting sqref="E12:E13">
    <cfRule type="cellIs" dxfId="29" priority="29" stopIfTrue="1" operator="between">
      <formula>1</formula>
      <formula>3.9</formula>
    </cfRule>
  </conditionalFormatting>
  <conditionalFormatting sqref="E15:E17">
    <cfRule type="cellIs" dxfId="28" priority="26" stopIfTrue="1" operator="between">
      <formula>1</formula>
      <formula>3.9</formula>
    </cfRule>
  </conditionalFormatting>
  <conditionalFormatting sqref="E19:E25">
    <cfRule type="cellIs" dxfId="27" priority="19" stopIfTrue="1" operator="between">
      <formula>1</formula>
      <formula>3.9</formula>
    </cfRule>
  </conditionalFormatting>
  <conditionalFormatting sqref="E29:E37">
    <cfRule type="cellIs" dxfId="26" priority="10" stopIfTrue="1" operator="between">
      <formula>1</formula>
      <formula>3.9</formula>
    </cfRule>
  </conditionalFormatting>
  <conditionalFormatting sqref="E39:E46">
    <cfRule type="cellIs" dxfId="25" priority="2" stopIfTrue="1" operator="between">
      <formula>1</formula>
      <formula>3.9</formula>
    </cfRule>
  </conditionalFormatting>
  <conditionalFormatting sqref="E52">
    <cfRule type="cellIs" dxfId="24" priority="36" stopIfTrue="1" operator="between">
      <formula>1</formula>
      <formula>3.9</formula>
    </cfRule>
  </conditionalFormatting>
  <pageMargins left="0.98425196850393704" right="0.23622047244094491" top="0.33" bottom="0.39370078740157483" header="0" footer="0"/>
  <pageSetup scale="66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pageSetUpPr fitToPage="1"/>
  </sheetPr>
  <dimension ref="A1:G56"/>
  <sheetViews>
    <sheetView showGridLines="0" topLeftCell="A39" zoomScaleNormal="100" workbookViewId="0">
      <selection activeCell="D54" sqref="D54:E54"/>
    </sheetView>
  </sheetViews>
  <sheetFormatPr baseColWidth="10" defaultColWidth="12.5703125" defaultRowHeight="15" customHeight="1"/>
  <cols>
    <col min="1" max="2" width="5.7109375" customWidth="1"/>
    <col min="3" max="3" width="10.7109375" customWidth="1"/>
    <col min="4" max="4" width="14.28515625" customWidth="1"/>
    <col min="5" max="5" width="60.7109375" customWidth="1"/>
    <col min="6" max="7" width="14.7109375" customWidth="1"/>
    <col min="8" max="23" width="11.42578125" customWidth="1"/>
    <col min="24" max="26" width="10.5703125" customWidth="1"/>
  </cols>
  <sheetData>
    <row r="1" spans="1:7" ht="72.75" customHeight="1">
      <c r="A1" s="684"/>
      <c r="B1" s="685"/>
      <c r="C1" s="685"/>
      <c r="D1" s="685"/>
      <c r="E1" s="686" t="s">
        <v>0</v>
      </c>
      <c r="F1" s="685"/>
      <c r="G1" s="687"/>
    </row>
    <row r="2" spans="1:7" ht="19.5" customHeight="1" thickBot="1">
      <c r="A2" s="719" t="s">
        <v>1348</v>
      </c>
      <c r="B2" s="720"/>
      <c r="C2" s="720"/>
      <c r="D2" s="720"/>
      <c r="E2" s="720"/>
      <c r="F2" s="720"/>
      <c r="G2" s="721"/>
    </row>
    <row r="3" spans="1:7" ht="19.5" customHeight="1" thickBot="1">
      <c r="A3" s="691" t="s">
        <v>2</v>
      </c>
      <c r="B3" s="692" t="s">
        <v>3</v>
      </c>
      <c r="C3" s="693" t="s">
        <v>4</v>
      </c>
      <c r="D3" s="675"/>
      <c r="E3" s="107" t="s">
        <v>1349</v>
      </c>
      <c r="F3" s="672" t="s">
        <v>5</v>
      </c>
      <c r="G3" s="691" t="s">
        <v>6</v>
      </c>
    </row>
    <row r="4" spans="1:7" ht="19.5" customHeight="1" thickBot="1">
      <c r="A4" s="712"/>
      <c r="B4" s="673"/>
      <c r="C4" s="119" t="s">
        <v>7</v>
      </c>
      <c r="D4" s="106" t="s">
        <v>8</v>
      </c>
      <c r="E4" s="119" t="s">
        <v>9</v>
      </c>
      <c r="F4" s="673"/>
      <c r="G4" s="673"/>
    </row>
    <row r="5" spans="1:7" ht="19.5" customHeight="1">
      <c r="A5" s="114">
        <v>1</v>
      </c>
      <c r="B5" s="384"/>
      <c r="C5" s="146"/>
      <c r="D5" s="385"/>
      <c r="E5" s="247" t="s">
        <v>325</v>
      </c>
      <c r="F5" s="248" t="s">
        <v>326</v>
      </c>
      <c r="G5" s="96">
        <v>40065</v>
      </c>
    </row>
    <row r="6" spans="1:7" ht="19.5" customHeight="1">
      <c r="A6" s="115">
        <v>2</v>
      </c>
      <c r="B6" s="386"/>
      <c r="C6" s="146"/>
      <c r="D6" s="360"/>
      <c r="E6" s="220" t="s">
        <v>450</v>
      </c>
      <c r="F6" s="191" t="s">
        <v>451</v>
      </c>
      <c r="G6" s="193" t="s">
        <v>452</v>
      </c>
    </row>
    <row r="7" spans="1:7" ht="19.5" customHeight="1">
      <c r="A7" s="115">
        <v>3</v>
      </c>
      <c r="B7" s="386"/>
      <c r="C7" s="146"/>
      <c r="D7" s="360" t="s">
        <v>1353</v>
      </c>
      <c r="E7" s="571" t="s">
        <v>1820</v>
      </c>
      <c r="F7" s="411" t="s">
        <v>1821</v>
      </c>
      <c r="G7" s="458">
        <v>40208</v>
      </c>
    </row>
    <row r="8" spans="1:7" ht="19.5" customHeight="1">
      <c r="A8" s="114">
        <v>4</v>
      </c>
      <c r="B8" s="386"/>
      <c r="C8" s="146"/>
      <c r="D8" s="362"/>
      <c r="E8" s="101" t="s">
        <v>333</v>
      </c>
      <c r="F8" s="104" t="s">
        <v>334</v>
      </c>
      <c r="G8" s="96">
        <v>40358</v>
      </c>
    </row>
    <row r="9" spans="1:7" ht="19.5" customHeight="1">
      <c r="A9" s="115">
        <v>5</v>
      </c>
      <c r="B9" s="386"/>
      <c r="C9" s="146"/>
      <c r="D9" s="365"/>
      <c r="E9" s="216" t="s">
        <v>449</v>
      </c>
      <c r="F9" s="192" t="s">
        <v>443</v>
      </c>
      <c r="G9" s="192" t="s">
        <v>65</v>
      </c>
    </row>
    <row r="10" spans="1:7" ht="19.5" customHeight="1">
      <c r="A10" s="115">
        <v>6</v>
      </c>
      <c r="B10" s="386"/>
      <c r="C10" s="146"/>
      <c r="D10" s="360"/>
      <c r="E10" s="94" t="s">
        <v>337</v>
      </c>
      <c r="F10" s="96" t="s">
        <v>338</v>
      </c>
      <c r="G10" s="96">
        <v>40221</v>
      </c>
    </row>
    <row r="11" spans="1:7" ht="19.5" customHeight="1">
      <c r="A11" s="114">
        <v>7</v>
      </c>
      <c r="B11" s="386"/>
      <c r="C11" s="146"/>
      <c r="D11" s="360"/>
      <c r="E11" s="216" t="s">
        <v>226</v>
      </c>
      <c r="F11" s="192" t="s">
        <v>227</v>
      </c>
      <c r="G11" s="192">
        <v>39945</v>
      </c>
    </row>
    <row r="12" spans="1:7" ht="19.5" customHeight="1">
      <c r="A12" s="115">
        <v>8</v>
      </c>
      <c r="B12" s="386"/>
      <c r="C12" s="146"/>
      <c r="D12" s="360"/>
      <c r="E12" s="101" t="s">
        <v>341</v>
      </c>
      <c r="F12" s="104" t="s">
        <v>342</v>
      </c>
      <c r="G12" s="96">
        <v>40181</v>
      </c>
    </row>
    <row r="13" spans="1:7" ht="19.5" customHeight="1">
      <c r="A13" s="115">
        <v>9</v>
      </c>
      <c r="B13" s="386"/>
      <c r="C13" s="146"/>
      <c r="D13" s="361"/>
      <c r="E13" s="216" t="s">
        <v>60</v>
      </c>
      <c r="F13" s="192" t="s">
        <v>61</v>
      </c>
      <c r="G13" s="192" t="s">
        <v>62</v>
      </c>
    </row>
    <row r="14" spans="1:7" ht="19.5" customHeight="1">
      <c r="A14" s="114">
        <v>10</v>
      </c>
      <c r="B14" s="386"/>
      <c r="C14" s="146"/>
      <c r="D14" s="360"/>
      <c r="E14" s="101" t="s">
        <v>344</v>
      </c>
      <c r="F14" s="104" t="s">
        <v>345</v>
      </c>
      <c r="G14" s="95">
        <v>40034</v>
      </c>
    </row>
    <row r="15" spans="1:7" ht="19.5" customHeight="1">
      <c r="A15" s="115">
        <v>11</v>
      </c>
      <c r="B15" s="386"/>
      <c r="C15" s="387"/>
      <c r="D15" s="362"/>
      <c r="E15" s="101" t="s">
        <v>346</v>
      </c>
      <c r="F15" s="104" t="s">
        <v>347</v>
      </c>
      <c r="G15" s="102">
        <v>40140</v>
      </c>
    </row>
    <row r="16" spans="1:7" ht="19.5" customHeight="1">
      <c r="A16" s="115">
        <v>12</v>
      </c>
      <c r="B16" s="386"/>
      <c r="C16" s="146"/>
      <c r="D16" s="360"/>
      <c r="E16" s="216" t="s">
        <v>667</v>
      </c>
      <c r="F16" s="96" t="s">
        <v>668</v>
      </c>
      <c r="G16" s="103">
        <v>40136</v>
      </c>
    </row>
    <row r="17" spans="1:7" ht="19.5" customHeight="1">
      <c r="A17" s="114">
        <v>13</v>
      </c>
      <c r="B17" s="386"/>
      <c r="C17" s="146"/>
      <c r="D17" s="360"/>
      <c r="E17" s="216" t="s">
        <v>168</v>
      </c>
      <c r="F17" s="192" t="s">
        <v>167</v>
      </c>
      <c r="G17" s="217">
        <v>40143</v>
      </c>
    </row>
    <row r="18" spans="1:7" ht="19.5" customHeight="1">
      <c r="A18" s="115">
        <v>14</v>
      </c>
      <c r="B18" s="386"/>
      <c r="C18" s="146"/>
      <c r="D18" s="360"/>
      <c r="E18" s="220" t="s">
        <v>71</v>
      </c>
      <c r="F18" s="191" t="s">
        <v>72</v>
      </c>
      <c r="G18" s="217" t="s">
        <v>73</v>
      </c>
    </row>
    <row r="19" spans="1:7" ht="19.5" customHeight="1">
      <c r="A19" s="115">
        <v>15</v>
      </c>
      <c r="B19" s="386"/>
      <c r="C19" s="146"/>
      <c r="D19" s="361"/>
      <c r="E19" s="220" t="s">
        <v>160</v>
      </c>
      <c r="F19" s="191" t="s">
        <v>217</v>
      </c>
      <c r="G19" s="217">
        <v>40135</v>
      </c>
    </row>
    <row r="20" spans="1:7" ht="19.5" customHeight="1">
      <c r="A20" s="114">
        <v>16</v>
      </c>
      <c r="B20" s="386"/>
      <c r="C20" s="146"/>
      <c r="D20" s="361"/>
      <c r="E20" s="220" t="s">
        <v>180</v>
      </c>
      <c r="F20" s="191" t="s">
        <v>177</v>
      </c>
      <c r="G20" s="217">
        <v>40057</v>
      </c>
    </row>
    <row r="21" spans="1:7" ht="19.5" customHeight="1">
      <c r="A21" s="115">
        <v>17</v>
      </c>
      <c r="B21" s="386"/>
      <c r="C21" s="146"/>
      <c r="D21" s="360"/>
      <c r="E21" s="220" t="s">
        <v>182</v>
      </c>
      <c r="F21" s="191" t="s">
        <v>179</v>
      </c>
      <c r="G21" s="217">
        <v>40216</v>
      </c>
    </row>
    <row r="22" spans="1:7" ht="19.5" customHeight="1">
      <c r="A22" s="115">
        <v>18</v>
      </c>
      <c r="B22" s="386"/>
      <c r="C22" s="146"/>
      <c r="D22" s="360"/>
      <c r="E22" s="101" t="s">
        <v>356</v>
      </c>
      <c r="F22" s="104" t="s">
        <v>357</v>
      </c>
      <c r="G22" s="95">
        <v>40170</v>
      </c>
    </row>
    <row r="23" spans="1:7" ht="19.5" customHeight="1">
      <c r="A23" s="114">
        <v>19</v>
      </c>
      <c r="B23" s="386"/>
      <c r="C23" s="146"/>
      <c r="D23" s="360" t="s">
        <v>1353</v>
      </c>
      <c r="E23" s="459" t="s">
        <v>1367</v>
      </c>
      <c r="F23" s="461" t="s">
        <v>1368</v>
      </c>
      <c r="G23" s="410">
        <v>40221</v>
      </c>
    </row>
    <row r="24" spans="1:7" ht="19.5" customHeight="1">
      <c r="A24" s="115">
        <v>20</v>
      </c>
      <c r="B24" s="386"/>
      <c r="C24" s="146"/>
      <c r="D24" s="360"/>
      <c r="E24" s="220" t="s">
        <v>83</v>
      </c>
      <c r="F24" s="191" t="s">
        <v>84</v>
      </c>
      <c r="G24" s="217" t="s">
        <v>85</v>
      </c>
    </row>
    <row r="25" spans="1:7" ht="19.5" customHeight="1">
      <c r="A25" s="115">
        <v>21</v>
      </c>
      <c r="B25" s="386"/>
      <c r="C25" s="146"/>
      <c r="D25" s="361"/>
      <c r="E25" s="94" t="s">
        <v>364</v>
      </c>
      <c r="F25" s="96" t="s">
        <v>365</v>
      </c>
      <c r="G25" s="95">
        <v>40086</v>
      </c>
    </row>
    <row r="26" spans="1:7" ht="19.5" customHeight="1">
      <c r="A26" s="114">
        <v>22</v>
      </c>
      <c r="B26" s="386"/>
      <c r="C26" s="146"/>
      <c r="D26" s="360"/>
      <c r="E26" s="220" t="s">
        <v>86</v>
      </c>
      <c r="F26" s="191" t="s">
        <v>87</v>
      </c>
      <c r="G26" s="217" t="s">
        <v>88</v>
      </c>
    </row>
    <row r="27" spans="1:7" ht="19.5" customHeight="1">
      <c r="A27" s="115">
        <v>23</v>
      </c>
      <c r="B27" s="386"/>
      <c r="C27" s="146"/>
      <c r="D27" s="360"/>
      <c r="E27" s="220" t="s">
        <v>89</v>
      </c>
      <c r="F27" s="191" t="s">
        <v>90</v>
      </c>
      <c r="G27" s="217" t="s">
        <v>91</v>
      </c>
    </row>
    <row r="28" spans="1:7" ht="19.5" customHeight="1">
      <c r="A28" s="115">
        <v>24</v>
      </c>
      <c r="B28" s="386"/>
      <c r="C28" s="146"/>
      <c r="D28" s="360"/>
      <c r="E28" s="101" t="s">
        <v>176</v>
      </c>
      <c r="F28" s="104" t="s">
        <v>219</v>
      </c>
      <c r="G28" s="95">
        <v>40203</v>
      </c>
    </row>
    <row r="29" spans="1:7" ht="19.5" customHeight="1">
      <c r="A29" s="114">
        <v>25</v>
      </c>
      <c r="B29" s="386"/>
      <c r="C29" s="146"/>
      <c r="D29" s="360"/>
      <c r="E29" s="220" t="s">
        <v>438</v>
      </c>
      <c r="F29" s="191" t="s">
        <v>439</v>
      </c>
      <c r="G29" s="217" t="s">
        <v>46</v>
      </c>
    </row>
    <row r="30" spans="1:7" ht="19.5" customHeight="1">
      <c r="A30" s="115">
        <v>26</v>
      </c>
      <c r="B30" s="386"/>
      <c r="C30" s="146"/>
      <c r="D30" s="360"/>
      <c r="E30" s="101" t="s">
        <v>371</v>
      </c>
      <c r="F30" s="104" t="s">
        <v>372</v>
      </c>
      <c r="G30" s="95">
        <v>40085</v>
      </c>
    </row>
    <row r="31" spans="1:7" ht="19.5" customHeight="1">
      <c r="A31" s="115">
        <v>27</v>
      </c>
      <c r="B31" s="386"/>
      <c r="C31" s="146"/>
      <c r="D31" s="360"/>
      <c r="E31" s="216" t="s">
        <v>673</v>
      </c>
      <c r="F31" s="192" t="s">
        <v>674</v>
      </c>
      <c r="G31" s="217" t="s">
        <v>880</v>
      </c>
    </row>
    <row r="32" spans="1:7" ht="19.5" customHeight="1">
      <c r="A32" s="114">
        <v>28</v>
      </c>
      <c r="B32" s="386"/>
      <c r="C32" s="146"/>
      <c r="D32" s="360"/>
      <c r="E32" s="220" t="s">
        <v>92</v>
      </c>
      <c r="F32" s="191" t="s">
        <v>93</v>
      </c>
      <c r="G32" s="217" t="s">
        <v>94</v>
      </c>
    </row>
    <row r="33" spans="1:7" ht="19.5" customHeight="1">
      <c r="A33" s="115">
        <v>29</v>
      </c>
      <c r="B33" s="386"/>
      <c r="C33" s="146"/>
      <c r="D33" s="360" t="s">
        <v>1353</v>
      </c>
      <c r="E33" s="530" t="s">
        <v>1365</v>
      </c>
      <c r="F33" s="461" t="s">
        <v>1366</v>
      </c>
      <c r="G33" s="410">
        <v>40098</v>
      </c>
    </row>
    <row r="34" spans="1:7" ht="19.5" customHeight="1">
      <c r="A34" s="115">
        <v>30</v>
      </c>
      <c r="B34" s="386"/>
      <c r="C34" s="146"/>
      <c r="D34" s="360"/>
      <c r="E34" s="566" t="s">
        <v>302</v>
      </c>
      <c r="F34" s="544" t="s">
        <v>303</v>
      </c>
      <c r="G34" s="131">
        <v>40144</v>
      </c>
    </row>
    <row r="35" spans="1:7" ht="19.5" customHeight="1">
      <c r="A35" s="114">
        <v>31</v>
      </c>
      <c r="B35" s="386"/>
      <c r="C35" s="146"/>
      <c r="D35" s="360"/>
      <c r="E35" s="220" t="s">
        <v>412</v>
      </c>
      <c r="F35" s="191" t="s">
        <v>413</v>
      </c>
      <c r="G35" s="217">
        <v>40061</v>
      </c>
    </row>
    <row r="36" spans="1:7" ht="19.5" customHeight="1">
      <c r="A36" s="115">
        <v>32</v>
      </c>
      <c r="B36" s="386"/>
      <c r="C36" s="146"/>
      <c r="D36" s="360"/>
      <c r="E36" s="101" t="s">
        <v>375</v>
      </c>
      <c r="F36" s="104" t="s">
        <v>376</v>
      </c>
      <c r="G36" s="95">
        <v>40283</v>
      </c>
    </row>
    <row r="37" spans="1:7" ht="19.5" customHeight="1">
      <c r="A37" s="115">
        <v>33</v>
      </c>
      <c r="B37" s="386"/>
      <c r="C37" s="146"/>
      <c r="D37" s="365"/>
      <c r="E37" s="220" t="s">
        <v>304</v>
      </c>
      <c r="F37" s="191" t="s">
        <v>305</v>
      </c>
      <c r="G37" s="217">
        <v>39889</v>
      </c>
    </row>
    <row r="38" spans="1:7" ht="19.5" customHeight="1">
      <c r="A38" s="114">
        <v>34</v>
      </c>
      <c r="B38" s="386"/>
      <c r="C38" s="146"/>
      <c r="D38" s="360"/>
      <c r="E38" s="101" t="s">
        <v>377</v>
      </c>
      <c r="F38" s="104" t="s">
        <v>378</v>
      </c>
      <c r="G38" s="95">
        <v>40239</v>
      </c>
    </row>
    <row r="39" spans="1:7" ht="19.5" customHeight="1">
      <c r="A39" s="115">
        <v>35</v>
      </c>
      <c r="B39" s="386"/>
      <c r="C39" s="146"/>
      <c r="D39" s="360"/>
      <c r="E39" s="101" t="s">
        <v>379</v>
      </c>
      <c r="F39" s="104" t="s">
        <v>380</v>
      </c>
      <c r="G39" s="95">
        <v>40140</v>
      </c>
    </row>
    <row r="40" spans="1:7" ht="19.5" customHeight="1">
      <c r="A40" s="115">
        <v>36</v>
      </c>
      <c r="B40" s="386"/>
      <c r="C40" s="146"/>
      <c r="D40" s="360" t="s">
        <v>1353</v>
      </c>
      <c r="E40" s="412" t="s">
        <v>1356</v>
      </c>
      <c r="F40" s="413" t="s">
        <v>1357</v>
      </c>
      <c r="G40" s="410">
        <v>39893</v>
      </c>
    </row>
    <row r="41" spans="1:7" ht="19.5" customHeight="1">
      <c r="A41" s="114">
        <v>37</v>
      </c>
      <c r="B41" s="386"/>
      <c r="C41" s="146"/>
      <c r="D41" s="360"/>
      <c r="E41" s="216" t="s">
        <v>106</v>
      </c>
      <c r="F41" s="192" t="s">
        <v>107</v>
      </c>
      <c r="G41" s="217" t="s">
        <v>108</v>
      </c>
    </row>
    <row r="42" spans="1:7" ht="19.5" customHeight="1">
      <c r="A42" s="115">
        <v>38</v>
      </c>
      <c r="B42" s="386"/>
      <c r="C42" s="146"/>
      <c r="D42" s="360"/>
      <c r="E42" s="216" t="s">
        <v>453</v>
      </c>
      <c r="F42" s="192" t="s">
        <v>454</v>
      </c>
      <c r="G42" s="217" t="s">
        <v>455</v>
      </c>
    </row>
    <row r="43" spans="1:7" ht="19.5" customHeight="1">
      <c r="A43" s="115">
        <v>39</v>
      </c>
      <c r="B43" s="386"/>
      <c r="C43" s="146"/>
      <c r="D43" s="360"/>
      <c r="E43" s="101" t="s">
        <v>310</v>
      </c>
      <c r="F43" s="104" t="s">
        <v>311</v>
      </c>
      <c r="G43" s="95">
        <v>40198</v>
      </c>
    </row>
    <row r="44" spans="1:7" ht="19.5" customHeight="1">
      <c r="A44" s="114">
        <v>40</v>
      </c>
      <c r="B44" s="386"/>
      <c r="C44" s="146"/>
      <c r="D44" s="365"/>
      <c r="E44" s="101" t="s">
        <v>381</v>
      </c>
      <c r="F44" s="104" t="s">
        <v>382</v>
      </c>
      <c r="G44" s="95">
        <v>40284</v>
      </c>
    </row>
    <row r="45" spans="1:7" ht="19.5" customHeight="1">
      <c r="A45" s="115">
        <v>41</v>
      </c>
      <c r="B45" s="386"/>
      <c r="C45" s="146"/>
      <c r="D45" s="360"/>
      <c r="E45" s="218" t="s">
        <v>314</v>
      </c>
      <c r="F45" s="193" t="s">
        <v>315</v>
      </c>
      <c r="G45" s="219">
        <v>39668</v>
      </c>
    </row>
    <row r="46" spans="1:7" ht="19.5" customHeight="1">
      <c r="A46" s="115">
        <v>42</v>
      </c>
      <c r="B46" s="386"/>
      <c r="C46" s="146"/>
      <c r="D46" s="365"/>
      <c r="E46" s="218" t="s">
        <v>254</v>
      </c>
      <c r="F46" s="193" t="s">
        <v>255</v>
      </c>
      <c r="G46" s="219">
        <v>39726</v>
      </c>
    </row>
    <row r="47" spans="1:7" ht="19.5" customHeight="1">
      <c r="A47" s="114">
        <v>43</v>
      </c>
      <c r="B47" s="386"/>
      <c r="C47" s="146"/>
      <c r="D47" s="360"/>
      <c r="E47" s="218" t="s">
        <v>135</v>
      </c>
      <c r="F47" s="193" t="s">
        <v>136</v>
      </c>
      <c r="G47" s="219" t="s">
        <v>137</v>
      </c>
    </row>
    <row r="48" spans="1:7" ht="19.5" customHeight="1">
      <c r="A48" s="117">
        <v>44</v>
      </c>
      <c r="B48" s="388"/>
      <c r="C48" s="389"/>
      <c r="D48" s="368"/>
      <c r="E48" s="216" t="s">
        <v>893</v>
      </c>
      <c r="F48" s="193" t="s">
        <v>320</v>
      </c>
      <c r="G48" s="219">
        <v>40215</v>
      </c>
    </row>
    <row r="49" spans="1:7" ht="19.5" customHeight="1" thickBot="1">
      <c r="A49" s="329">
        <v>45</v>
      </c>
      <c r="B49" s="234"/>
      <c r="C49" s="390"/>
      <c r="D49" s="92"/>
      <c r="E49" s="460" t="s">
        <v>388</v>
      </c>
      <c r="F49" s="316" t="s">
        <v>389</v>
      </c>
      <c r="G49" s="317">
        <v>40096</v>
      </c>
    </row>
    <row r="50" spans="1:7" ht="19.5" customHeight="1">
      <c r="A50" s="335">
        <v>46</v>
      </c>
      <c r="B50" s="91"/>
      <c r="C50" s="86"/>
      <c r="D50" s="85"/>
      <c r="E50" s="565" t="s">
        <v>392</v>
      </c>
      <c r="F50" s="414" t="s">
        <v>393</v>
      </c>
      <c r="G50" s="334">
        <v>40225</v>
      </c>
    </row>
    <row r="51" spans="1:7" ht="19.5" customHeight="1">
      <c r="A51" s="465">
        <v>47</v>
      </c>
      <c r="B51" s="93"/>
      <c r="C51" s="99"/>
      <c r="D51" s="97"/>
      <c r="E51" s="216" t="s">
        <v>894</v>
      </c>
      <c r="F51" s="105" t="s">
        <v>433</v>
      </c>
      <c r="G51" s="103">
        <v>39914</v>
      </c>
    </row>
    <row r="52" spans="1:7" ht="19.5" customHeight="1">
      <c r="A52" s="462">
        <v>48</v>
      </c>
      <c r="B52" s="165"/>
      <c r="C52" s="125"/>
      <c r="D52" s="130"/>
      <c r="E52" s="292" t="s">
        <v>695</v>
      </c>
      <c r="F52" s="293" t="s">
        <v>696</v>
      </c>
      <c r="G52" s="242">
        <v>40077</v>
      </c>
    </row>
    <row r="53" spans="1:7" ht="19.5" customHeight="1" thickBot="1">
      <c r="A53" s="462">
        <v>49</v>
      </c>
      <c r="B53" s="165"/>
      <c r="C53" s="125"/>
      <c r="D53" s="130"/>
      <c r="E53" s="463" t="s">
        <v>402</v>
      </c>
      <c r="F53" s="464" t="s">
        <v>417</v>
      </c>
      <c r="G53" s="464">
        <v>40113</v>
      </c>
    </row>
    <row r="54" spans="1:7" ht="19.5" customHeight="1" thickBot="1">
      <c r="A54" s="110" t="s">
        <v>10</v>
      </c>
      <c r="B54" s="230"/>
      <c r="C54" s="111"/>
      <c r="D54" s="706" t="s">
        <v>1888</v>
      </c>
      <c r="E54" s="675"/>
      <c r="F54" s="676" t="s">
        <v>11</v>
      </c>
      <c r="G54" s="677"/>
    </row>
    <row r="55" spans="1:7" ht="19.5" customHeight="1">
      <c r="A55" s="722"/>
      <c r="B55" s="679"/>
      <c r="C55" s="679"/>
      <c r="D55" s="679"/>
      <c r="E55" s="679"/>
      <c r="F55" s="679"/>
      <c r="G55" s="680"/>
    </row>
    <row r="56" spans="1:7" ht="19.5" customHeight="1">
      <c r="A56" s="681"/>
      <c r="B56" s="682"/>
      <c r="C56" s="682"/>
      <c r="D56" s="682"/>
      <c r="E56" s="682"/>
      <c r="F56" s="682"/>
      <c r="G56" s="683"/>
    </row>
  </sheetData>
  <sortState xmlns:xlrd2="http://schemas.microsoft.com/office/spreadsheetml/2017/richdata2" ref="D6:G53">
    <sortCondition ref="E6:E53"/>
  </sortState>
  <mergeCells count="11">
    <mergeCell ref="F3:F4"/>
    <mergeCell ref="D54:E54"/>
    <mergeCell ref="F54:G54"/>
    <mergeCell ref="A55:G56"/>
    <mergeCell ref="A1:D1"/>
    <mergeCell ref="E1:G1"/>
    <mergeCell ref="A2:G2"/>
    <mergeCell ref="A3:A4"/>
    <mergeCell ref="B3:B4"/>
    <mergeCell ref="C3:D3"/>
    <mergeCell ref="G3:G4"/>
  </mergeCells>
  <phoneticPr fontId="16" type="noConversion"/>
  <conditionalFormatting sqref="E5:E12">
    <cfRule type="cellIs" dxfId="23" priority="1" stopIfTrue="1" operator="between">
      <formula>1</formula>
      <formula>3.9</formula>
    </cfRule>
  </conditionalFormatting>
  <conditionalFormatting sqref="E14:E24">
    <cfRule type="cellIs" dxfId="22" priority="15" stopIfTrue="1" operator="between">
      <formula>1</formula>
      <formula>3.9</formula>
    </cfRule>
  </conditionalFormatting>
  <conditionalFormatting sqref="E27:E29">
    <cfRule type="cellIs" dxfId="21" priority="12" stopIfTrue="1" operator="between">
      <formula>1</formula>
      <formula>3.9</formula>
    </cfRule>
  </conditionalFormatting>
  <conditionalFormatting sqref="E34:E45">
    <cfRule type="cellIs" dxfId="20" priority="3" stopIfTrue="1" operator="between">
      <formula>1</formula>
      <formula>3.9</formula>
    </cfRule>
  </conditionalFormatting>
  <conditionalFormatting sqref="E49:E51">
    <cfRule type="cellIs" dxfId="19" priority="2" stopIfTrue="1" operator="between">
      <formula>1</formula>
      <formula>3.9</formula>
    </cfRule>
  </conditionalFormatting>
  <pageMargins left="0.94" right="0.23622047244094491" top="0.39370078740157483" bottom="0.39370078740157483" header="0" footer="0"/>
  <pageSetup paperSize="5" scale="74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52"/>
  <sheetViews>
    <sheetView showGridLines="0" topLeftCell="A32" zoomScaleNormal="100" workbookViewId="0">
      <selection activeCell="I6" sqref="I6"/>
    </sheetView>
  </sheetViews>
  <sheetFormatPr baseColWidth="10" defaultColWidth="12.5703125" defaultRowHeight="15" customHeight="1"/>
  <cols>
    <col min="1" max="2" width="5.7109375" customWidth="1"/>
    <col min="3" max="3" width="10.7109375" customWidth="1"/>
    <col min="4" max="4" width="14.28515625" customWidth="1"/>
    <col min="5" max="5" width="60.7109375" customWidth="1"/>
    <col min="6" max="7" width="14.7109375" customWidth="1"/>
    <col min="8" max="27" width="11.42578125" customWidth="1"/>
  </cols>
  <sheetData>
    <row r="1" spans="1:10" ht="72.75" customHeight="1">
      <c r="A1" s="684"/>
      <c r="B1" s="685"/>
      <c r="C1" s="685"/>
      <c r="D1" s="685"/>
      <c r="E1" s="686" t="s">
        <v>0</v>
      </c>
      <c r="F1" s="685"/>
      <c r="G1" s="687"/>
    </row>
    <row r="2" spans="1:10" ht="19.5" customHeight="1" thickBot="1">
      <c r="A2" s="719" t="s">
        <v>1347</v>
      </c>
      <c r="B2" s="720"/>
      <c r="C2" s="720"/>
      <c r="D2" s="720"/>
      <c r="E2" s="720"/>
      <c r="F2" s="720"/>
      <c r="G2" s="721"/>
    </row>
    <row r="3" spans="1:10" ht="19.5" customHeight="1">
      <c r="A3" s="691" t="s">
        <v>2</v>
      </c>
      <c r="B3" s="691" t="s">
        <v>3</v>
      </c>
      <c r="C3" s="724" t="s">
        <v>4</v>
      </c>
      <c r="D3" s="714"/>
      <c r="E3" s="4" t="s">
        <v>1350</v>
      </c>
      <c r="F3" s="691" t="s">
        <v>5</v>
      </c>
      <c r="G3" s="691" t="s">
        <v>6</v>
      </c>
    </row>
    <row r="4" spans="1:10" ht="19.5" customHeight="1" thickBot="1">
      <c r="A4" s="712"/>
      <c r="B4" s="712"/>
      <c r="C4" s="5" t="s">
        <v>7</v>
      </c>
      <c r="D4" s="5" t="s">
        <v>8</v>
      </c>
      <c r="E4" s="639" t="s">
        <v>9</v>
      </c>
      <c r="F4" s="699"/>
      <c r="G4" s="699"/>
    </row>
    <row r="5" spans="1:10" ht="19.5" customHeight="1">
      <c r="A5" s="7">
        <v>1</v>
      </c>
      <c r="B5" s="653"/>
      <c r="C5" s="281"/>
      <c r="D5" s="235" t="s">
        <v>1353</v>
      </c>
      <c r="E5" s="657" t="s">
        <v>1382</v>
      </c>
      <c r="F5" s="658" t="s">
        <v>1376</v>
      </c>
      <c r="G5" s="659">
        <v>40353</v>
      </c>
    </row>
    <row r="6" spans="1:10" ht="19.5" customHeight="1">
      <c r="A6" s="10">
        <v>2</v>
      </c>
      <c r="B6" s="380"/>
      <c r="C6" s="11"/>
      <c r="D6" s="235" t="s">
        <v>1353</v>
      </c>
      <c r="E6" s="654" t="s">
        <v>1872</v>
      </c>
      <c r="F6" s="655" t="s">
        <v>1873</v>
      </c>
      <c r="G6" s="656">
        <v>40013</v>
      </c>
    </row>
    <row r="7" spans="1:10" ht="19.5" customHeight="1">
      <c r="A7" s="10">
        <v>3</v>
      </c>
      <c r="B7" s="380"/>
      <c r="C7" s="11"/>
      <c r="D7" s="235"/>
      <c r="E7" s="395" t="s">
        <v>153</v>
      </c>
      <c r="F7" s="193" t="s">
        <v>154</v>
      </c>
      <c r="G7" s="193" t="s">
        <v>155</v>
      </c>
    </row>
    <row r="8" spans="1:10" ht="19.5" customHeight="1">
      <c r="A8" s="7">
        <v>4</v>
      </c>
      <c r="B8" s="380"/>
      <c r="C8" s="11"/>
      <c r="D8" s="235"/>
      <c r="E8" s="199" t="s">
        <v>156</v>
      </c>
      <c r="F8" s="192" t="s">
        <v>157</v>
      </c>
      <c r="G8" s="192">
        <v>40231</v>
      </c>
    </row>
    <row r="9" spans="1:10" ht="19.5" customHeight="1">
      <c r="A9" s="10">
        <v>5</v>
      </c>
      <c r="B9" s="380"/>
      <c r="C9" s="11"/>
      <c r="D9" s="235"/>
      <c r="E9" s="396" t="s">
        <v>1261</v>
      </c>
      <c r="F9" s="104" t="s">
        <v>273</v>
      </c>
      <c r="G9" s="96">
        <v>40059</v>
      </c>
    </row>
    <row r="10" spans="1:10" ht="19.5" customHeight="1">
      <c r="A10" s="10">
        <v>6</v>
      </c>
      <c r="B10" s="380"/>
      <c r="C10" s="11"/>
      <c r="D10" s="375"/>
      <c r="E10" s="395" t="s">
        <v>220</v>
      </c>
      <c r="F10" s="193" t="s">
        <v>215</v>
      </c>
      <c r="G10" s="192">
        <v>40204</v>
      </c>
    </row>
    <row r="11" spans="1:10" ht="19.5" customHeight="1">
      <c r="A11" s="7">
        <v>7</v>
      </c>
      <c r="B11" s="380"/>
      <c r="C11" s="11"/>
      <c r="D11" s="235"/>
      <c r="E11" s="311" t="s">
        <v>276</v>
      </c>
      <c r="F11" s="96" t="s">
        <v>277</v>
      </c>
      <c r="G11" s="96">
        <v>40030</v>
      </c>
    </row>
    <row r="12" spans="1:10" ht="19.5" customHeight="1">
      <c r="A12" s="10">
        <v>8</v>
      </c>
      <c r="B12" s="380"/>
      <c r="C12" s="11"/>
      <c r="D12" s="235"/>
      <c r="E12" s="199" t="s">
        <v>57</v>
      </c>
      <c r="F12" s="192" t="s">
        <v>58</v>
      </c>
      <c r="G12" s="192" t="s">
        <v>59</v>
      </c>
    </row>
    <row r="13" spans="1:10" ht="19.5" customHeight="1">
      <c r="A13" s="10">
        <v>9</v>
      </c>
      <c r="B13" s="380"/>
      <c r="C13" s="11"/>
      <c r="D13" s="235"/>
      <c r="E13" s="311" t="s">
        <v>166</v>
      </c>
      <c r="F13" s="96" t="s">
        <v>165</v>
      </c>
      <c r="G13" s="96">
        <v>40166</v>
      </c>
    </row>
    <row r="14" spans="1:10" ht="19.5" customHeight="1">
      <c r="A14" s="7">
        <v>10</v>
      </c>
      <c r="B14" s="380"/>
      <c r="C14" s="79"/>
      <c r="D14" s="235"/>
      <c r="E14" s="255" t="s">
        <v>228</v>
      </c>
      <c r="F14" s="191" t="s">
        <v>229</v>
      </c>
      <c r="G14" s="192">
        <v>40085</v>
      </c>
    </row>
    <row r="15" spans="1:10" ht="19.5" customHeight="1">
      <c r="A15" s="10">
        <v>11</v>
      </c>
      <c r="B15" s="380"/>
      <c r="C15" s="11"/>
      <c r="D15" s="620" t="s">
        <v>1878</v>
      </c>
      <c r="E15" s="743" t="s">
        <v>558</v>
      </c>
      <c r="F15" s="519" t="s">
        <v>559</v>
      </c>
      <c r="G15" s="96">
        <v>39594</v>
      </c>
    </row>
    <row r="16" spans="1:10" ht="19.5" customHeight="1">
      <c r="A16" s="10">
        <v>12</v>
      </c>
      <c r="B16" s="380"/>
      <c r="C16" s="11"/>
      <c r="D16" s="235"/>
      <c r="E16" s="422" t="s">
        <v>888</v>
      </c>
      <c r="F16" s="299" t="s">
        <v>349</v>
      </c>
      <c r="G16" s="299">
        <v>40064</v>
      </c>
      <c r="J16" t="s">
        <v>12</v>
      </c>
    </row>
    <row r="17" spans="1:10" ht="19.5" customHeight="1">
      <c r="A17" s="7">
        <v>13</v>
      </c>
      <c r="B17" s="380"/>
      <c r="C17" s="11"/>
      <c r="D17" s="235"/>
      <c r="E17" s="255" t="s">
        <v>230</v>
      </c>
      <c r="F17" s="191" t="s">
        <v>231</v>
      </c>
      <c r="G17" s="192">
        <v>39619</v>
      </c>
    </row>
    <row r="18" spans="1:10" ht="19.5" customHeight="1">
      <c r="A18" s="10">
        <v>14</v>
      </c>
      <c r="B18" s="380"/>
      <c r="C18" s="11"/>
      <c r="D18" s="235"/>
      <c r="E18" s="255" t="s">
        <v>74</v>
      </c>
      <c r="F18" s="191" t="s">
        <v>75</v>
      </c>
      <c r="G18" s="192" t="s">
        <v>76</v>
      </c>
    </row>
    <row r="19" spans="1:10" ht="19.5" customHeight="1">
      <c r="A19" s="10">
        <v>15</v>
      </c>
      <c r="B19" s="380"/>
      <c r="C19" s="11"/>
      <c r="D19" s="235"/>
      <c r="E19" s="396" t="s">
        <v>684</v>
      </c>
      <c r="F19" s="104" t="s">
        <v>853</v>
      </c>
      <c r="G19" s="105">
        <v>39320</v>
      </c>
    </row>
    <row r="20" spans="1:10" ht="19.5" customHeight="1">
      <c r="A20" s="7">
        <v>16</v>
      </c>
      <c r="B20" s="380"/>
      <c r="C20" s="11"/>
      <c r="D20" s="235" t="s">
        <v>1353</v>
      </c>
      <c r="E20" s="457" t="s">
        <v>1915</v>
      </c>
      <c r="F20" s="411" t="s">
        <v>1916</v>
      </c>
      <c r="G20" s="458">
        <v>40321</v>
      </c>
    </row>
    <row r="21" spans="1:10" ht="19.5" customHeight="1">
      <c r="A21" s="10">
        <v>17</v>
      </c>
      <c r="B21" s="380"/>
      <c r="C21" s="11" t="s">
        <v>1911</v>
      </c>
      <c r="D21" s="235" t="s">
        <v>1353</v>
      </c>
      <c r="E21" s="457" t="s">
        <v>1377</v>
      </c>
      <c r="F21" s="411" t="s">
        <v>1378</v>
      </c>
      <c r="G21" s="411">
        <v>40051</v>
      </c>
    </row>
    <row r="22" spans="1:10" ht="19.5" customHeight="1">
      <c r="A22" s="10">
        <v>18</v>
      </c>
      <c r="B22" s="380"/>
      <c r="C22" s="11"/>
      <c r="D22" s="341"/>
      <c r="E22" s="395" t="s">
        <v>232</v>
      </c>
      <c r="F22" s="193" t="s">
        <v>233</v>
      </c>
      <c r="G22" s="193">
        <v>39698</v>
      </c>
    </row>
    <row r="23" spans="1:10" ht="19.5" customHeight="1">
      <c r="A23" s="7">
        <v>19</v>
      </c>
      <c r="B23" s="380"/>
      <c r="C23" s="11"/>
      <c r="D23" s="375"/>
      <c r="E23" s="255" t="s">
        <v>234</v>
      </c>
      <c r="F23" s="191" t="s">
        <v>235</v>
      </c>
      <c r="G23" s="192">
        <v>40003</v>
      </c>
    </row>
    <row r="24" spans="1:10" ht="19.5" customHeight="1">
      <c r="A24" s="10">
        <v>20</v>
      </c>
      <c r="B24" s="380"/>
      <c r="C24" s="11"/>
      <c r="D24" s="235"/>
      <c r="E24" s="255" t="s">
        <v>408</v>
      </c>
      <c r="F24" s="191" t="s">
        <v>409</v>
      </c>
      <c r="G24" s="192">
        <v>39968</v>
      </c>
    </row>
    <row r="25" spans="1:10" ht="19.5" customHeight="1">
      <c r="A25" s="10">
        <v>21</v>
      </c>
      <c r="B25" s="380"/>
      <c r="C25" s="11"/>
      <c r="D25" s="235"/>
      <c r="E25" s="255" t="s">
        <v>77</v>
      </c>
      <c r="F25" s="191" t="s">
        <v>78</v>
      </c>
      <c r="G25" s="192" t="s">
        <v>79</v>
      </c>
    </row>
    <row r="26" spans="1:10" ht="19.5" customHeight="1">
      <c r="A26" s="7">
        <v>22</v>
      </c>
      <c r="B26" s="380"/>
      <c r="C26" s="11"/>
      <c r="D26" s="235"/>
      <c r="E26" s="199" t="s">
        <v>236</v>
      </c>
      <c r="F26" s="192" t="s">
        <v>237</v>
      </c>
      <c r="G26" s="192">
        <v>40021</v>
      </c>
    </row>
    <row r="27" spans="1:10" ht="19.5" customHeight="1">
      <c r="A27" s="10">
        <v>23</v>
      </c>
      <c r="B27" s="380"/>
      <c r="C27" s="11"/>
      <c r="D27" s="375"/>
      <c r="E27" s="199" t="s">
        <v>410</v>
      </c>
      <c r="F27" s="192" t="s">
        <v>411</v>
      </c>
      <c r="G27" s="192">
        <v>40191</v>
      </c>
    </row>
    <row r="28" spans="1:10" ht="19.5" customHeight="1">
      <c r="A28" s="10">
        <v>24</v>
      </c>
      <c r="B28" s="380"/>
      <c r="C28" s="11"/>
      <c r="D28" s="235"/>
      <c r="E28" s="395" t="s">
        <v>671</v>
      </c>
      <c r="F28" s="193" t="s">
        <v>672</v>
      </c>
      <c r="G28" s="193">
        <v>40468</v>
      </c>
    </row>
    <row r="29" spans="1:10" ht="19.5" customHeight="1">
      <c r="A29" s="7">
        <v>25</v>
      </c>
      <c r="B29" s="380"/>
      <c r="C29" s="11"/>
      <c r="D29" s="375"/>
      <c r="E29" s="199" t="s">
        <v>296</v>
      </c>
      <c r="F29" s="192" t="s">
        <v>297</v>
      </c>
      <c r="G29" s="192">
        <v>40296</v>
      </c>
    </row>
    <row r="30" spans="1:10" ht="19.5" customHeight="1">
      <c r="A30" s="10">
        <v>26</v>
      </c>
      <c r="B30" s="380"/>
      <c r="C30" s="11"/>
      <c r="D30" s="235"/>
      <c r="E30" s="255" t="s">
        <v>299</v>
      </c>
      <c r="F30" s="191" t="s">
        <v>300</v>
      </c>
      <c r="G30" s="192" t="s">
        <v>301</v>
      </c>
      <c r="I30" t="s">
        <v>12</v>
      </c>
      <c r="J30" t="s">
        <v>12</v>
      </c>
    </row>
    <row r="31" spans="1:10" ht="19.5" customHeight="1">
      <c r="A31" s="10">
        <v>27</v>
      </c>
      <c r="B31" s="380"/>
      <c r="C31" s="11" t="s">
        <v>1914</v>
      </c>
      <c r="D31" s="235" t="s">
        <v>1353</v>
      </c>
      <c r="E31" s="525" t="s">
        <v>1917</v>
      </c>
      <c r="F31" s="742" t="s">
        <v>1918</v>
      </c>
      <c r="G31" s="527">
        <v>40079</v>
      </c>
    </row>
    <row r="32" spans="1:10" ht="19.5" customHeight="1">
      <c r="A32" s="7">
        <v>28</v>
      </c>
      <c r="B32" s="380"/>
      <c r="C32" s="11"/>
      <c r="D32" s="416"/>
      <c r="E32" s="255" t="s">
        <v>203</v>
      </c>
      <c r="F32" s="191" t="s">
        <v>197</v>
      </c>
      <c r="G32" s="193">
        <v>40140</v>
      </c>
      <c r="I32" s="237"/>
    </row>
    <row r="33" spans="1:10" ht="19.5" customHeight="1">
      <c r="A33" s="10">
        <v>29</v>
      </c>
      <c r="B33" s="380"/>
      <c r="C33" s="11"/>
      <c r="D33" s="235"/>
      <c r="E33" s="255" t="s">
        <v>691</v>
      </c>
      <c r="F33" s="191" t="s">
        <v>692</v>
      </c>
      <c r="G33" s="192">
        <v>40057</v>
      </c>
    </row>
    <row r="34" spans="1:10" ht="19.5" customHeight="1">
      <c r="A34" s="10">
        <v>30</v>
      </c>
      <c r="B34" s="380"/>
      <c r="C34" s="11"/>
      <c r="D34" s="744"/>
      <c r="E34" s="395" t="s">
        <v>855</v>
      </c>
      <c r="F34" s="193" t="s">
        <v>856</v>
      </c>
      <c r="G34" s="193">
        <v>39706</v>
      </c>
    </row>
    <row r="35" spans="1:10" ht="19.5" customHeight="1">
      <c r="A35" s="7">
        <v>31</v>
      </c>
      <c r="B35" s="380"/>
      <c r="C35" s="79"/>
      <c r="D35" s="235"/>
      <c r="E35" s="255" t="s">
        <v>109</v>
      </c>
      <c r="F35" s="191" t="s">
        <v>110</v>
      </c>
      <c r="G35" s="192" t="s">
        <v>111</v>
      </c>
    </row>
    <row r="36" spans="1:10" ht="19.5" customHeight="1">
      <c r="A36" s="10">
        <v>32</v>
      </c>
      <c r="B36" s="380"/>
      <c r="C36" s="79"/>
      <c r="D36" s="620" t="s">
        <v>1878</v>
      </c>
      <c r="E36" s="743" t="s">
        <v>883</v>
      </c>
      <c r="F36" s="519" t="s">
        <v>582</v>
      </c>
      <c r="G36" s="96">
        <v>39559</v>
      </c>
      <c r="I36" t="s">
        <v>12</v>
      </c>
    </row>
    <row r="37" spans="1:10" ht="19.5" customHeight="1">
      <c r="A37" s="10">
        <v>33</v>
      </c>
      <c r="B37" s="380"/>
      <c r="C37" s="11"/>
      <c r="D37" s="375"/>
      <c r="E37" s="255" t="s">
        <v>687</v>
      </c>
      <c r="F37" s="191" t="s">
        <v>688</v>
      </c>
      <c r="G37" s="192">
        <v>39683</v>
      </c>
    </row>
    <row r="38" spans="1:10" ht="19.5" customHeight="1">
      <c r="A38" s="7">
        <v>34</v>
      </c>
      <c r="B38" s="380"/>
      <c r="C38" s="11"/>
      <c r="D38" s="375"/>
      <c r="E38" s="291" t="s">
        <v>114</v>
      </c>
      <c r="F38" s="179" t="s">
        <v>115</v>
      </c>
      <c r="G38" s="172" t="s">
        <v>116</v>
      </c>
    </row>
    <row r="39" spans="1:10" ht="19.5" customHeight="1">
      <c r="A39" s="10">
        <v>35</v>
      </c>
      <c r="B39" s="380"/>
      <c r="C39" s="11"/>
      <c r="D39" s="375"/>
      <c r="E39" s="562" t="s">
        <v>318</v>
      </c>
      <c r="F39" s="520" t="s">
        <v>319</v>
      </c>
      <c r="G39" s="520">
        <v>40352</v>
      </c>
    </row>
    <row r="40" spans="1:10" ht="19.5" customHeight="1">
      <c r="A40" s="10">
        <v>36</v>
      </c>
      <c r="B40" s="380"/>
      <c r="C40" s="11"/>
      <c r="D40" s="235"/>
      <c r="E40" s="291" t="s">
        <v>434</v>
      </c>
      <c r="F40" s="179" t="s">
        <v>414</v>
      </c>
      <c r="G40" s="172">
        <v>40291</v>
      </c>
    </row>
    <row r="41" spans="1:10" ht="19.5" customHeight="1">
      <c r="A41" s="7">
        <v>37</v>
      </c>
      <c r="B41" s="380"/>
      <c r="C41" s="11"/>
      <c r="D41" s="235"/>
      <c r="E41" s="562" t="s">
        <v>144</v>
      </c>
      <c r="F41" s="172" t="s">
        <v>145</v>
      </c>
      <c r="G41" s="520" t="s">
        <v>146</v>
      </c>
    </row>
    <row r="42" spans="1:10" ht="19.5" customHeight="1">
      <c r="A42" s="10">
        <v>38</v>
      </c>
      <c r="B42" s="380"/>
      <c r="C42" s="11"/>
      <c r="D42" s="375"/>
      <c r="E42" s="562" t="s">
        <v>147</v>
      </c>
      <c r="F42" s="520" t="s">
        <v>148</v>
      </c>
      <c r="G42" s="520" t="s">
        <v>149</v>
      </c>
    </row>
    <row r="43" spans="1:10" ht="19.5" customHeight="1">
      <c r="A43" s="10">
        <v>39</v>
      </c>
      <c r="B43" s="127"/>
      <c r="C43" s="83"/>
      <c r="D43" s="132"/>
      <c r="E43" s="564"/>
      <c r="F43" s="118"/>
      <c r="G43" s="118"/>
      <c r="J43" t="s">
        <v>12</v>
      </c>
    </row>
    <row r="44" spans="1:10" ht="19.5" customHeight="1">
      <c r="A44" s="7">
        <v>40</v>
      </c>
      <c r="B44" s="128"/>
      <c r="C44" s="133"/>
      <c r="D44" s="393"/>
      <c r="E44" s="541"/>
      <c r="F44" s="541"/>
      <c r="G44" s="541"/>
    </row>
    <row r="45" spans="1:10" ht="19.5" customHeight="1">
      <c r="A45" s="10">
        <v>41</v>
      </c>
      <c r="B45" s="128"/>
      <c r="C45" s="133"/>
      <c r="D45" s="393"/>
      <c r="E45" s="311"/>
      <c r="F45" s="96"/>
      <c r="G45" s="96"/>
      <c r="J45" t="s">
        <v>12</v>
      </c>
    </row>
    <row r="46" spans="1:10" ht="19.5" customHeight="1">
      <c r="A46" s="10">
        <v>42</v>
      </c>
      <c r="B46" s="128"/>
      <c r="C46" s="133"/>
      <c r="D46" s="393"/>
      <c r="E46" s="311"/>
      <c r="F46" s="96"/>
      <c r="G46" s="96"/>
      <c r="J46" t="s">
        <v>13</v>
      </c>
    </row>
    <row r="47" spans="1:10" ht="19.5" customHeight="1">
      <c r="A47" s="7">
        <v>43</v>
      </c>
      <c r="B47" s="381"/>
      <c r="C47" s="135"/>
      <c r="D47" s="417"/>
      <c r="E47" s="422"/>
      <c r="F47" s="299"/>
      <c r="G47" s="299"/>
    </row>
    <row r="48" spans="1:10" ht="19.5" customHeight="1">
      <c r="A48" s="303">
        <v>44</v>
      </c>
      <c r="B48" s="382"/>
      <c r="C48" s="383"/>
      <c r="D48" s="418"/>
      <c r="E48" s="423"/>
      <c r="F48" s="150"/>
      <c r="G48" s="150"/>
    </row>
    <row r="49" spans="1:7" ht="19.5" customHeight="1" thickBot="1">
      <c r="A49" s="319">
        <v>45</v>
      </c>
      <c r="B49" s="320"/>
      <c r="C49" s="321"/>
      <c r="D49" s="419"/>
      <c r="E49" s="424"/>
      <c r="F49" s="322"/>
      <c r="G49" s="322"/>
    </row>
    <row r="50" spans="1:7" ht="19.5" customHeight="1" thickBot="1">
      <c r="A50" s="110" t="s">
        <v>10</v>
      </c>
      <c r="B50" s="233"/>
      <c r="C50" s="111"/>
      <c r="D50" s="706" t="s">
        <v>1889</v>
      </c>
      <c r="E50" s="675"/>
      <c r="F50" s="676" t="s">
        <v>11</v>
      </c>
      <c r="G50" s="677"/>
    </row>
    <row r="51" spans="1:7" ht="19.5" customHeight="1">
      <c r="A51" s="718"/>
      <c r="B51" s="679"/>
      <c r="C51" s="679"/>
      <c r="D51" s="679"/>
      <c r="E51" s="679"/>
      <c r="F51" s="679"/>
      <c r="G51" s="680"/>
    </row>
    <row r="52" spans="1:7" ht="19.5" customHeight="1">
      <c r="A52" s="681"/>
      <c r="B52" s="682"/>
      <c r="C52" s="682"/>
      <c r="D52" s="682"/>
      <c r="E52" s="682"/>
      <c r="F52" s="682"/>
      <c r="G52" s="683"/>
    </row>
  </sheetData>
  <sortState xmlns:xlrd2="http://schemas.microsoft.com/office/spreadsheetml/2017/richdata2" ref="E6:G42">
    <sortCondition ref="E5:E42"/>
  </sortState>
  <mergeCells count="11">
    <mergeCell ref="F3:F4"/>
    <mergeCell ref="D50:E50"/>
    <mergeCell ref="F50:G50"/>
    <mergeCell ref="A51:G52"/>
    <mergeCell ref="A1:D1"/>
    <mergeCell ref="E1:G1"/>
    <mergeCell ref="A2:G2"/>
    <mergeCell ref="A3:A4"/>
    <mergeCell ref="B3:B4"/>
    <mergeCell ref="C3:D3"/>
    <mergeCell ref="G3:G4"/>
  </mergeCells>
  <phoneticPr fontId="16" type="noConversion"/>
  <conditionalFormatting sqref="E6:E8">
    <cfRule type="cellIs" dxfId="18" priority="24" stopIfTrue="1" operator="between">
      <formula>1</formula>
      <formula>3.9</formula>
    </cfRule>
  </conditionalFormatting>
  <conditionalFormatting sqref="E12:E15">
    <cfRule type="cellIs" dxfId="17" priority="20" stopIfTrue="1" operator="between">
      <formula>1</formula>
      <formula>3.9</formula>
    </cfRule>
  </conditionalFormatting>
  <conditionalFormatting sqref="E17:E28">
    <cfRule type="cellIs" dxfId="16" priority="11" stopIfTrue="1" operator="between">
      <formula>1</formula>
      <formula>3.9</formula>
    </cfRule>
  </conditionalFormatting>
  <conditionalFormatting sqref="E32:E34">
    <cfRule type="cellIs" dxfId="15" priority="7" stopIfTrue="1" operator="between">
      <formula>1</formula>
      <formula>3.9</formula>
    </cfRule>
  </conditionalFormatting>
  <conditionalFormatting sqref="E37:E49">
    <cfRule type="cellIs" dxfId="14" priority="1" stopIfTrue="1" operator="between">
      <formula>1</formula>
      <formula>3.9</formula>
    </cfRule>
  </conditionalFormatting>
  <pageMargins left="0.71" right="0.23622047244094491" top="0.33" bottom="0.39370078740157483" header="0" footer="0"/>
  <pageSetup scale="70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K52"/>
  <sheetViews>
    <sheetView showGridLines="0" topLeftCell="A37" zoomScaleNormal="100" workbookViewId="0">
      <selection activeCell="I9" sqref="I9"/>
    </sheetView>
  </sheetViews>
  <sheetFormatPr baseColWidth="10" defaultColWidth="12.5703125" defaultRowHeight="15" customHeight="1"/>
  <cols>
    <col min="1" max="2" width="5.7109375" customWidth="1"/>
    <col min="3" max="3" width="10.7109375" customWidth="1"/>
    <col min="4" max="4" width="14.28515625" customWidth="1"/>
    <col min="5" max="5" width="65.85546875" customWidth="1"/>
    <col min="6" max="6" width="15.5703125" customWidth="1"/>
    <col min="7" max="7" width="14.7109375" customWidth="1"/>
    <col min="8" max="27" width="11.42578125" customWidth="1"/>
  </cols>
  <sheetData>
    <row r="1" spans="1:7" ht="72.75" customHeight="1">
      <c r="A1" s="684"/>
      <c r="B1" s="685"/>
      <c r="C1" s="685"/>
      <c r="D1" s="685"/>
      <c r="E1" s="686" t="s">
        <v>0</v>
      </c>
      <c r="F1" s="685"/>
      <c r="G1" s="687"/>
    </row>
    <row r="2" spans="1:7" ht="19.5" customHeight="1" thickBot="1">
      <c r="A2" s="719" t="s">
        <v>1345</v>
      </c>
      <c r="B2" s="720"/>
      <c r="C2" s="720"/>
      <c r="D2" s="720"/>
      <c r="E2" s="720"/>
      <c r="F2" s="720"/>
      <c r="G2" s="721"/>
    </row>
    <row r="3" spans="1:7" ht="19.5" customHeight="1">
      <c r="A3" s="691" t="s">
        <v>2</v>
      </c>
      <c r="B3" s="691" t="s">
        <v>3</v>
      </c>
      <c r="C3" s="724" t="s">
        <v>4</v>
      </c>
      <c r="D3" s="728"/>
      <c r="E3" s="626" t="s">
        <v>1346</v>
      </c>
      <c r="F3" s="725" t="s">
        <v>5</v>
      </c>
      <c r="G3" s="729" t="s">
        <v>6</v>
      </c>
    </row>
    <row r="4" spans="1:7" ht="19.5" customHeight="1" thickBot="1">
      <c r="A4" s="712"/>
      <c r="B4" s="712"/>
      <c r="C4" s="5" t="s">
        <v>7</v>
      </c>
      <c r="D4" s="625" t="s">
        <v>8</v>
      </c>
      <c r="E4" s="627" t="s">
        <v>9</v>
      </c>
      <c r="F4" s="699"/>
      <c r="G4" s="730"/>
    </row>
    <row r="5" spans="1:7" ht="19.5" customHeight="1">
      <c r="A5" s="7">
        <v>1</v>
      </c>
      <c r="B5" s="380"/>
      <c r="C5" s="11"/>
      <c r="D5" s="235"/>
      <c r="E5" s="545" t="s">
        <v>406</v>
      </c>
      <c r="F5" s="624" t="s">
        <v>407</v>
      </c>
      <c r="G5" s="258">
        <v>39968</v>
      </c>
    </row>
    <row r="6" spans="1:7" ht="19.5" customHeight="1">
      <c r="A6" s="10">
        <v>2</v>
      </c>
      <c r="B6" s="380"/>
      <c r="C6" s="11"/>
      <c r="D6" s="341"/>
      <c r="E6" s="628" t="s">
        <v>264</v>
      </c>
      <c r="F6" s="298" t="s">
        <v>265</v>
      </c>
      <c r="G6" s="299">
        <v>40234</v>
      </c>
    </row>
    <row r="7" spans="1:7" ht="19.5" customHeight="1">
      <c r="A7" s="10">
        <v>3</v>
      </c>
      <c r="B7" s="380"/>
      <c r="C7" s="11"/>
      <c r="D7" s="235"/>
      <c r="E7" s="311" t="s">
        <v>269</v>
      </c>
      <c r="F7" s="312" t="s">
        <v>270</v>
      </c>
      <c r="G7" s="96">
        <v>40298</v>
      </c>
    </row>
    <row r="8" spans="1:7" ht="19.5" customHeight="1">
      <c r="A8" s="7">
        <v>4</v>
      </c>
      <c r="B8" s="380"/>
      <c r="C8" s="11"/>
      <c r="D8" s="235"/>
      <c r="E8" s="199" t="s">
        <v>427</v>
      </c>
      <c r="F8" s="261" t="s">
        <v>428</v>
      </c>
      <c r="G8" s="192" t="s">
        <v>429</v>
      </c>
    </row>
    <row r="9" spans="1:7" ht="19.5" customHeight="1">
      <c r="A9" s="10">
        <v>5</v>
      </c>
      <c r="B9" s="380"/>
      <c r="C9" s="11"/>
      <c r="D9" s="235"/>
      <c r="E9" s="255" t="s">
        <v>50</v>
      </c>
      <c r="F9" s="260" t="s">
        <v>51</v>
      </c>
      <c r="G9" s="192" t="s">
        <v>52</v>
      </c>
    </row>
    <row r="10" spans="1:7" ht="19.5" customHeight="1">
      <c r="A10" s="10">
        <v>6</v>
      </c>
      <c r="B10" s="380"/>
      <c r="C10" s="11"/>
      <c r="D10" s="341"/>
      <c r="E10" s="395" t="s">
        <v>682</v>
      </c>
      <c r="F10" s="631" t="s">
        <v>683</v>
      </c>
      <c r="G10" s="105">
        <v>39512</v>
      </c>
    </row>
    <row r="11" spans="1:7" ht="19.5" customHeight="1">
      <c r="A11" s="7">
        <v>7</v>
      </c>
      <c r="B11" s="380"/>
      <c r="C11" s="11"/>
      <c r="D11" s="235"/>
      <c r="E11" s="395" t="s">
        <v>420</v>
      </c>
      <c r="F11" s="632" t="s">
        <v>421</v>
      </c>
      <c r="G11" s="193">
        <v>40204</v>
      </c>
    </row>
    <row r="12" spans="1:7" ht="19.5" customHeight="1">
      <c r="A12" s="10">
        <v>8</v>
      </c>
      <c r="B12" s="380"/>
      <c r="C12" s="11"/>
      <c r="D12" s="426"/>
      <c r="E12" s="396" t="s">
        <v>339</v>
      </c>
      <c r="F12" s="266" t="s">
        <v>340</v>
      </c>
      <c r="G12" s="96">
        <v>40065</v>
      </c>
    </row>
    <row r="13" spans="1:7" ht="19.5" customHeight="1">
      <c r="A13" s="10">
        <v>9</v>
      </c>
      <c r="B13" s="380"/>
      <c r="C13" s="11"/>
      <c r="D13" s="235"/>
      <c r="E13" s="396" t="s">
        <v>278</v>
      </c>
      <c r="F13" s="266" t="s">
        <v>279</v>
      </c>
      <c r="G13" s="96">
        <v>40352</v>
      </c>
    </row>
    <row r="14" spans="1:7" ht="19.5" customHeight="1">
      <c r="A14" s="7">
        <v>10</v>
      </c>
      <c r="B14" s="380"/>
      <c r="C14" s="11"/>
      <c r="D14" s="235"/>
      <c r="E14" s="255" t="s">
        <v>66</v>
      </c>
      <c r="F14" s="260" t="s">
        <v>67</v>
      </c>
      <c r="G14" s="192" t="s">
        <v>68</v>
      </c>
    </row>
    <row r="15" spans="1:7" ht="19.5" customHeight="1">
      <c r="A15" s="10">
        <v>11</v>
      </c>
      <c r="B15" s="380"/>
      <c r="C15" s="11"/>
      <c r="D15" s="235"/>
      <c r="E15" s="628" t="s">
        <v>1856</v>
      </c>
      <c r="F15" s="298" t="s">
        <v>348</v>
      </c>
      <c r="G15" s="299">
        <v>40196</v>
      </c>
    </row>
    <row r="16" spans="1:7" ht="19.5" customHeight="1">
      <c r="A16" s="10">
        <v>12</v>
      </c>
      <c r="B16" s="380"/>
      <c r="C16" s="11"/>
      <c r="D16" s="235"/>
      <c r="E16" s="396" t="s">
        <v>280</v>
      </c>
      <c r="F16" s="266" t="s">
        <v>281</v>
      </c>
      <c r="G16" s="96">
        <v>39993</v>
      </c>
    </row>
    <row r="17" spans="1:11" ht="19.5" customHeight="1">
      <c r="A17" s="7">
        <v>13</v>
      </c>
      <c r="B17" s="380"/>
      <c r="C17" s="11"/>
      <c r="D17" s="235"/>
      <c r="E17" s="255" t="s">
        <v>178</v>
      </c>
      <c r="F17" s="260" t="s">
        <v>175</v>
      </c>
      <c r="G17" s="192">
        <v>39949</v>
      </c>
      <c r="K17" t="s">
        <v>12</v>
      </c>
    </row>
    <row r="18" spans="1:11" ht="19.5" customHeight="1">
      <c r="A18" s="10">
        <v>14</v>
      </c>
      <c r="B18" s="380"/>
      <c r="C18" s="11"/>
      <c r="D18" s="235"/>
      <c r="E18" s="629" t="s">
        <v>354</v>
      </c>
      <c r="F18" s="262" t="s">
        <v>355</v>
      </c>
      <c r="G18" s="275">
        <v>40149</v>
      </c>
    </row>
    <row r="19" spans="1:11" ht="19.5" customHeight="1">
      <c r="A19" s="10">
        <v>15</v>
      </c>
      <c r="B19" s="380"/>
      <c r="C19" s="11"/>
      <c r="D19" s="235"/>
      <c r="E19" s="255" t="s">
        <v>291</v>
      </c>
      <c r="F19" s="260" t="s">
        <v>292</v>
      </c>
      <c r="G19" s="192">
        <v>40173</v>
      </c>
    </row>
    <row r="20" spans="1:11" ht="19.5" customHeight="1">
      <c r="A20" s="7">
        <v>16</v>
      </c>
      <c r="B20" s="380"/>
      <c r="C20" s="11"/>
      <c r="D20" s="235"/>
      <c r="E20" s="199" t="s">
        <v>184</v>
      </c>
      <c r="F20" s="261" t="s">
        <v>181</v>
      </c>
      <c r="G20" s="192">
        <v>40136</v>
      </c>
    </row>
    <row r="21" spans="1:11" ht="19.5" customHeight="1">
      <c r="A21" s="10">
        <v>17</v>
      </c>
      <c r="B21" s="380"/>
      <c r="C21" s="11"/>
      <c r="D21" s="235"/>
      <c r="E21" s="255" t="s">
        <v>238</v>
      </c>
      <c r="F21" s="260" t="s">
        <v>239</v>
      </c>
      <c r="G21" s="192">
        <v>40074</v>
      </c>
    </row>
    <row r="22" spans="1:11" ht="19.5" customHeight="1">
      <c r="A22" s="10">
        <v>18</v>
      </c>
      <c r="B22" s="380"/>
      <c r="C22" s="11"/>
      <c r="D22" s="235"/>
      <c r="E22" s="422" t="s">
        <v>463</v>
      </c>
      <c r="F22" s="561" t="s">
        <v>464</v>
      </c>
      <c r="G22" s="299" t="s">
        <v>465</v>
      </c>
    </row>
    <row r="23" spans="1:11" ht="19.5" customHeight="1">
      <c r="A23" s="7">
        <v>19</v>
      </c>
      <c r="B23" s="380"/>
      <c r="C23" s="11"/>
      <c r="D23" s="235"/>
      <c r="E23" s="395" t="s">
        <v>240</v>
      </c>
      <c r="F23" s="632" t="s">
        <v>241</v>
      </c>
      <c r="G23" s="193">
        <v>40222</v>
      </c>
    </row>
    <row r="24" spans="1:11" ht="19.5" customHeight="1">
      <c r="A24" s="10">
        <v>20</v>
      </c>
      <c r="B24" s="380"/>
      <c r="C24" s="11"/>
      <c r="D24" s="235"/>
      <c r="E24" s="199" t="s">
        <v>80</v>
      </c>
      <c r="F24" s="261" t="s">
        <v>81</v>
      </c>
      <c r="G24" s="192" t="s">
        <v>82</v>
      </c>
    </row>
    <row r="25" spans="1:11" ht="19.5" customHeight="1">
      <c r="A25" s="10">
        <v>21</v>
      </c>
      <c r="B25" s="380"/>
      <c r="C25" s="11"/>
      <c r="D25" s="341"/>
      <c r="E25" s="395" t="s">
        <v>404</v>
      </c>
      <c r="F25" s="632" t="s">
        <v>405</v>
      </c>
      <c r="G25" s="193">
        <v>40180</v>
      </c>
    </row>
    <row r="26" spans="1:11" ht="19.5" customHeight="1">
      <c r="A26" s="7">
        <v>22</v>
      </c>
      <c r="B26" s="380"/>
      <c r="C26" s="11"/>
      <c r="D26" s="341"/>
      <c r="E26" s="255" t="s">
        <v>95</v>
      </c>
      <c r="F26" s="260" t="s">
        <v>96</v>
      </c>
      <c r="G26" s="192" t="s">
        <v>97</v>
      </c>
      <c r="I26" t="s">
        <v>12</v>
      </c>
    </row>
    <row r="27" spans="1:11" ht="19.5" customHeight="1">
      <c r="A27" s="10">
        <v>23</v>
      </c>
      <c r="B27" s="380"/>
      <c r="C27" s="11"/>
      <c r="D27" s="235"/>
      <c r="E27" s="396" t="s">
        <v>294</v>
      </c>
      <c r="F27" s="266" t="s">
        <v>295</v>
      </c>
      <c r="G27" s="96">
        <v>39906</v>
      </c>
    </row>
    <row r="28" spans="1:11" ht="19.5" customHeight="1">
      <c r="A28" s="10">
        <v>24</v>
      </c>
      <c r="B28" s="380"/>
      <c r="C28" s="11"/>
      <c r="D28" s="235"/>
      <c r="E28" s="255" t="s">
        <v>98</v>
      </c>
      <c r="F28" s="260" t="s">
        <v>99</v>
      </c>
      <c r="G28" s="192" t="s">
        <v>100</v>
      </c>
    </row>
    <row r="29" spans="1:11" ht="19.5" customHeight="1">
      <c r="A29" s="7">
        <v>25</v>
      </c>
      <c r="B29" s="380"/>
      <c r="C29" s="11"/>
      <c r="D29" s="235"/>
      <c r="E29" s="255" t="s">
        <v>193</v>
      </c>
      <c r="F29" s="260" t="s">
        <v>188</v>
      </c>
      <c r="G29" s="192">
        <v>40315</v>
      </c>
    </row>
    <row r="30" spans="1:11" ht="19.5" customHeight="1">
      <c r="A30" s="10">
        <v>26</v>
      </c>
      <c r="B30" s="380"/>
      <c r="C30" s="11"/>
      <c r="D30" s="235"/>
      <c r="E30" s="255" t="s">
        <v>244</v>
      </c>
      <c r="F30" s="260" t="s">
        <v>245</v>
      </c>
      <c r="G30" s="192">
        <v>40199</v>
      </c>
    </row>
    <row r="31" spans="1:11" ht="19.5" customHeight="1">
      <c r="A31" s="10">
        <v>27</v>
      </c>
      <c r="B31" s="380"/>
      <c r="C31" s="11"/>
      <c r="D31" s="235"/>
      <c r="E31" s="199" t="s">
        <v>456</v>
      </c>
      <c r="F31" s="632" t="s">
        <v>457</v>
      </c>
      <c r="G31" s="193" t="s">
        <v>458</v>
      </c>
    </row>
    <row r="32" spans="1:11" ht="19.5" customHeight="1">
      <c r="A32" s="7">
        <v>28</v>
      </c>
      <c r="B32" s="380"/>
      <c r="C32" s="11"/>
      <c r="D32" s="426"/>
      <c r="E32" s="255" t="s">
        <v>196</v>
      </c>
      <c r="F32" s="260" t="s">
        <v>191</v>
      </c>
      <c r="G32" s="192">
        <v>39915</v>
      </c>
    </row>
    <row r="33" spans="1:10" ht="19.5" customHeight="1">
      <c r="A33" s="10">
        <v>29</v>
      </c>
      <c r="B33" s="380"/>
      <c r="C33" s="11"/>
      <c r="D33" s="235"/>
      <c r="E33" s="255" t="s">
        <v>198</v>
      </c>
      <c r="F33" s="260" t="s">
        <v>192</v>
      </c>
      <c r="G33" s="192">
        <v>40310</v>
      </c>
    </row>
    <row r="34" spans="1:10" ht="19.5" customHeight="1">
      <c r="A34" s="10">
        <v>30</v>
      </c>
      <c r="B34" s="380"/>
      <c r="C34" s="11"/>
      <c r="D34" s="235"/>
      <c r="E34" s="628" t="s">
        <v>308</v>
      </c>
      <c r="F34" s="298" t="s">
        <v>309</v>
      </c>
      <c r="G34" s="299">
        <v>40259</v>
      </c>
    </row>
    <row r="35" spans="1:10" ht="19.5" customHeight="1">
      <c r="A35" s="7">
        <v>31</v>
      </c>
      <c r="B35" s="380"/>
      <c r="C35" s="11"/>
      <c r="D35" s="235"/>
      <c r="E35" s="297" t="s">
        <v>677</v>
      </c>
      <c r="F35" s="624" t="s">
        <v>678</v>
      </c>
      <c r="G35" s="242">
        <v>40193</v>
      </c>
    </row>
    <row r="36" spans="1:10" ht="19.5" customHeight="1">
      <c r="A36" s="10">
        <v>32</v>
      </c>
      <c r="B36" s="380"/>
      <c r="C36" s="11"/>
      <c r="D36" s="235"/>
      <c r="E36" s="199" t="s">
        <v>886</v>
      </c>
      <c r="F36" s="261" t="s">
        <v>112</v>
      </c>
      <c r="G36" s="192" t="s">
        <v>113</v>
      </c>
    </row>
    <row r="37" spans="1:10" ht="19.5" customHeight="1">
      <c r="A37" s="10">
        <v>33</v>
      </c>
      <c r="B37" s="380"/>
      <c r="C37" s="11"/>
      <c r="D37" s="235"/>
      <c r="E37" s="255" t="s">
        <v>209</v>
      </c>
      <c r="F37" s="260" t="s">
        <v>205</v>
      </c>
      <c r="G37" s="192">
        <v>40176</v>
      </c>
    </row>
    <row r="38" spans="1:10" ht="19.5" customHeight="1">
      <c r="A38" s="7">
        <v>34</v>
      </c>
      <c r="B38" s="380"/>
      <c r="C38" s="11"/>
      <c r="D38" s="235"/>
      <c r="E38" s="255" t="s">
        <v>211</v>
      </c>
      <c r="F38" s="260" t="s">
        <v>207</v>
      </c>
      <c r="G38" s="192">
        <v>40133</v>
      </c>
    </row>
    <row r="39" spans="1:10" ht="19.5" customHeight="1">
      <c r="A39" s="10">
        <v>35</v>
      </c>
      <c r="B39" s="380"/>
      <c r="C39" s="11"/>
      <c r="D39" s="235"/>
      <c r="E39" s="630" t="s">
        <v>857</v>
      </c>
      <c r="F39" s="633" t="s">
        <v>858</v>
      </c>
      <c r="G39" s="623" t="s">
        <v>859</v>
      </c>
    </row>
    <row r="40" spans="1:10" ht="19.5" customHeight="1">
      <c r="A40" s="10">
        <v>36</v>
      </c>
      <c r="B40" s="380"/>
      <c r="C40" s="11"/>
      <c r="D40" s="235"/>
      <c r="E40" s="311" t="s">
        <v>385</v>
      </c>
      <c r="F40" s="312" t="s">
        <v>386</v>
      </c>
      <c r="G40" s="96">
        <v>40068</v>
      </c>
    </row>
    <row r="41" spans="1:10" ht="19.5" customHeight="1">
      <c r="A41" s="7">
        <v>37</v>
      </c>
      <c r="B41" s="380"/>
      <c r="C41" s="11"/>
      <c r="D41" s="235"/>
      <c r="E41" s="395" t="s">
        <v>138</v>
      </c>
      <c r="F41" s="632" t="s">
        <v>139</v>
      </c>
      <c r="G41" s="193" t="s">
        <v>140</v>
      </c>
    </row>
    <row r="42" spans="1:10" ht="19.5" customHeight="1">
      <c r="A42" s="10">
        <v>38</v>
      </c>
      <c r="B42" s="380"/>
      <c r="C42" s="11"/>
      <c r="D42" s="235"/>
      <c r="E42" s="397" t="s">
        <v>390</v>
      </c>
      <c r="F42" s="631" t="s">
        <v>391</v>
      </c>
      <c r="G42" s="105">
        <v>40268</v>
      </c>
    </row>
    <row r="43" spans="1:10" ht="19.5" customHeight="1">
      <c r="A43" s="10">
        <v>39</v>
      </c>
      <c r="B43" s="380"/>
      <c r="C43" s="11"/>
      <c r="D43" s="235"/>
      <c r="E43" s="395" t="s">
        <v>141</v>
      </c>
      <c r="F43" s="632" t="s">
        <v>142</v>
      </c>
      <c r="G43" s="193" t="s">
        <v>143</v>
      </c>
    </row>
    <row r="44" spans="1:10" ht="19.5" customHeight="1">
      <c r="A44" s="7">
        <v>40</v>
      </c>
      <c r="B44" s="380"/>
      <c r="C44" s="11"/>
      <c r="D44" s="235"/>
      <c r="E44" s="395" t="s">
        <v>216</v>
      </c>
      <c r="F44" s="632" t="s">
        <v>212</v>
      </c>
      <c r="G44" s="193">
        <v>40125</v>
      </c>
    </row>
    <row r="45" spans="1:10" ht="19.5" customHeight="1">
      <c r="A45" s="10">
        <v>41</v>
      </c>
      <c r="B45" s="380"/>
      <c r="C45" s="11"/>
      <c r="D45" s="235"/>
      <c r="E45" s="255" t="s">
        <v>260</v>
      </c>
      <c r="F45" s="260" t="s">
        <v>49</v>
      </c>
      <c r="G45" s="192">
        <v>40233</v>
      </c>
      <c r="I45" t="s">
        <v>12</v>
      </c>
      <c r="J45" t="s">
        <v>12</v>
      </c>
    </row>
    <row r="46" spans="1:10" ht="19.5" customHeight="1">
      <c r="A46" s="10">
        <v>42</v>
      </c>
      <c r="B46" s="380"/>
      <c r="C46" s="143"/>
      <c r="D46" s="132"/>
      <c r="E46" s="255" t="s">
        <v>261</v>
      </c>
      <c r="F46" s="260" t="s">
        <v>262</v>
      </c>
      <c r="G46" s="192">
        <v>39920</v>
      </c>
    </row>
    <row r="47" spans="1:10" ht="19.5" customHeight="1">
      <c r="A47" s="7">
        <v>43</v>
      </c>
      <c r="B47" s="380"/>
      <c r="C47" s="143"/>
      <c r="D47" s="393"/>
      <c r="E47" s="255" t="s">
        <v>679</v>
      </c>
      <c r="F47" s="260" t="s">
        <v>680</v>
      </c>
      <c r="G47" s="192">
        <v>40091</v>
      </c>
    </row>
    <row r="48" spans="1:10" ht="19.5" customHeight="1">
      <c r="A48" s="10">
        <v>44</v>
      </c>
      <c r="B48" s="380"/>
      <c r="C48" s="143"/>
      <c r="D48" s="393"/>
      <c r="E48" s="297" t="s">
        <v>263</v>
      </c>
      <c r="F48" s="624" t="s">
        <v>432</v>
      </c>
      <c r="G48" s="242">
        <v>40047</v>
      </c>
    </row>
    <row r="49" spans="1:7" ht="19.5" customHeight="1" thickBot="1">
      <c r="A49" s="621">
        <v>45</v>
      </c>
      <c r="B49" s="622"/>
      <c r="C49" s="143"/>
      <c r="D49" s="326"/>
      <c r="E49" s="615" t="s">
        <v>396</v>
      </c>
      <c r="F49" s="634" t="s">
        <v>397</v>
      </c>
      <c r="G49" s="316">
        <v>39920</v>
      </c>
    </row>
    <row r="50" spans="1:7" ht="19.5" customHeight="1" thickBot="1">
      <c r="A50" s="110" t="s">
        <v>10</v>
      </c>
      <c r="B50" s="111"/>
      <c r="C50" s="112"/>
      <c r="D50" s="726" t="s">
        <v>1890</v>
      </c>
      <c r="E50" s="683"/>
      <c r="F50" s="727" t="s">
        <v>11</v>
      </c>
      <c r="G50" s="683"/>
    </row>
    <row r="51" spans="1:7" ht="19.5" customHeight="1">
      <c r="A51" s="718"/>
      <c r="B51" s="679"/>
      <c r="C51" s="679"/>
      <c r="D51" s="679"/>
      <c r="E51" s="679"/>
      <c r="F51" s="679"/>
      <c r="G51" s="680"/>
    </row>
    <row r="52" spans="1:7" ht="19.5" customHeight="1">
      <c r="A52" s="681"/>
      <c r="B52" s="682"/>
      <c r="C52" s="682"/>
      <c r="D52" s="682"/>
      <c r="E52" s="682"/>
      <c r="F52" s="682"/>
      <c r="G52" s="683"/>
    </row>
  </sheetData>
  <sortState xmlns:xlrd2="http://schemas.microsoft.com/office/spreadsheetml/2017/richdata2" ref="E5:G49">
    <sortCondition ref="E5:E49"/>
  </sortState>
  <mergeCells count="11">
    <mergeCell ref="F3:F4"/>
    <mergeCell ref="D50:E50"/>
    <mergeCell ref="F50:G50"/>
    <mergeCell ref="A51:G52"/>
    <mergeCell ref="A1:D1"/>
    <mergeCell ref="E1:G1"/>
    <mergeCell ref="A2:G2"/>
    <mergeCell ref="A3:A4"/>
    <mergeCell ref="B3:B4"/>
    <mergeCell ref="C3:D3"/>
    <mergeCell ref="G3:G4"/>
  </mergeCells>
  <phoneticPr fontId="16" type="noConversion"/>
  <conditionalFormatting sqref="E6:E12 E48:E49">
    <cfRule type="cellIs" dxfId="13" priority="22" stopIfTrue="1" operator="between">
      <formula>1</formula>
      <formula>3.9</formula>
    </cfRule>
  </conditionalFormatting>
  <conditionalFormatting sqref="E16">
    <cfRule type="cellIs" dxfId="12" priority="21" stopIfTrue="1" operator="between">
      <formula>1</formula>
      <formula>3.9</formula>
    </cfRule>
  </conditionalFormatting>
  <conditionalFormatting sqref="E19">
    <cfRule type="cellIs" dxfId="11" priority="20" stopIfTrue="1" operator="between">
      <formula>1</formula>
      <formula>3.9</formula>
    </cfRule>
  </conditionalFormatting>
  <conditionalFormatting sqref="E21:E29">
    <cfRule type="cellIs" dxfId="10" priority="12" stopIfTrue="1" operator="between">
      <formula>1</formula>
      <formula>3.9</formula>
    </cfRule>
  </conditionalFormatting>
  <conditionalFormatting sqref="E34">
    <cfRule type="cellIs" dxfId="9" priority="11" stopIfTrue="1" operator="between">
      <formula>1</formula>
      <formula>3.9</formula>
    </cfRule>
  </conditionalFormatting>
  <conditionalFormatting sqref="E36:E38 E40:E42">
    <cfRule type="cellIs" dxfId="8" priority="6" stopIfTrue="1" operator="between">
      <formula>1</formula>
      <formula>3.9</formula>
    </cfRule>
  </conditionalFormatting>
  <conditionalFormatting sqref="E44">
    <cfRule type="cellIs" dxfId="7" priority="5" stopIfTrue="1" operator="between">
      <formula>1</formula>
      <formula>3.9</formula>
    </cfRule>
  </conditionalFormatting>
  <pageMargins left="0.61" right="0.11" top="0.26" bottom="0.17" header="0" footer="0"/>
  <pageSetup scale="72"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52"/>
  <sheetViews>
    <sheetView showGridLines="0" topLeftCell="A36" zoomScaleNormal="100" workbookViewId="0">
      <selection activeCell="I44" sqref="I44"/>
    </sheetView>
  </sheetViews>
  <sheetFormatPr baseColWidth="10" defaultColWidth="12.5703125" defaultRowHeight="15" customHeight="1"/>
  <cols>
    <col min="1" max="2" width="5.7109375" customWidth="1"/>
    <col min="3" max="3" width="10.7109375" customWidth="1"/>
    <col min="4" max="4" width="14.28515625" customWidth="1"/>
    <col min="5" max="5" width="60.7109375" customWidth="1"/>
    <col min="6" max="7" width="14.7109375" customWidth="1"/>
    <col min="8" max="8" width="11.42578125" customWidth="1"/>
    <col min="9" max="26" width="10.5703125" customWidth="1"/>
  </cols>
  <sheetData>
    <row r="1" spans="1:7" ht="72.75" customHeight="1" thickBot="1">
      <c r="A1" s="684"/>
      <c r="B1" s="685"/>
      <c r="C1" s="685"/>
      <c r="D1" s="685"/>
      <c r="E1" s="686" t="s">
        <v>0</v>
      </c>
      <c r="F1" s="685"/>
      <c r="G1" s="687"/>
    </row>
    <row r="2" spans="1:7" ht="19.5" customHeight="1" thickBot="1">
      <c r="A2" s="719" t="s">
        <v>1344</v>
      </c>
      <c r="B2" s="720"/>
      <c r="C2" s="720"/>
      <c r="D2" s="720"/>
      <c r="E2" s="720"/>
      <c r="F2" s="720"/>
      <c r="G2" s="721"/>
    </row>
    <row r="3" spans="1:7" ht="19.5" customHeight="1">
      <c r="A3" s="691" t="s">
        <v>2</v>
      </c>
      <c r="B3" s="691" t="s">
        <v>3</v>
      </c>
      <c r="C3" s="713" t="s">
        <v>4</v>
      </c>
      <c r="D3" s="714"/>
      <c r="E3" s="4" t="s">
        <v>1358</v>
      </c>
      <c r="F3" s="691" t="s">
        <v>5</v>
      </c>
      <c r="G3" s="691" t="s">
        <v>6</v>
      </c>
    </row>
    <row r="4" spans="1:7" ht="19.5" customHeight="1" thickBot="1">
      <c r="A4" s="673"/>
      <c r="B4" s="712"/>
      <c r="C4" s="5" t="s">
        <v>7</v>
      </c>
      <c r="D4" s="5" t="s">
        <v>8</v>
      </c>
      <c r="E4" s="281" t="s">
        <v>9</v>
      </c>
      <c r="F4" s="712"/>
      <c r="G4" s="673"/>
    </row>
    <row r="5" spans="1:7" ht="19.5" customHeight="1">
      <c r="A5" s="122">
        <v>1</v>
      </c>
      <c r="B5" s="153"/>
      <c r="C5" s="11"/>
      <c r="D5" s="25"/>
      <c r="E5" s="506" t="s">
        <v>773</v>
      </c>
      <c r="F5" s="510" t="s">
        <v>811</v>
      </c>
      <c r="G5" s="113">
        <v>39819</v>
      </c>
    </row>
    <row r="6" spans="1:7" ht="19.5" customHeight="1">
      <c r="A6" s="80">
        <v>2</v>
      </c>
      <c r="B6" s="153"/>
      <c r="C6" s="11"/>
      <c r="D6" s="27"/>
      <c r="E6" s="507" t="s">
        <v>774</v>
      </c>
      <c r="F6" s="510" t="s">
        <v>812</v>
      </c>
      <c r="G6" s="82">
        <v>39803</v>
      </c>
    </row>
    <row r="7" spans="1:7" ht="19.5" customHeight="1">
      <c r="A7" s="80">
        <v>3</v>
      </c>
      <c r="B7" s="153"/>
      <c r="C7" s="11"/>
      <c r="D7" s="27"/>
      <c r="E7" s="507" t="s">
        <v>887</v>
      </c>
      <c r="F7" s="510" t="s">
        <v>813</v>
      </c>
      <c r="G7" s="82">
        <v>39773</v>
      </c>
    </row>
    <row r="8" spans="1:7" ht="19.5" customHeight="1">
      <c r="A8" s="80">
        <v>4</v>
      </c>
      <c r="B8" s="153"/>
      <c r="C8" s="11"/>
      <c r="D8" s="25"/>
      <c r="E8" s="507" t="s">
        <v>775</v>
      </c>
      <c r="F8" s="510" t="s">
        <v>814</v>
      </c>
      <c r="G8" s="82">
        <v>39717</v>
      </c>
    </row>
    <row r="9" spans="1:7" ht="19.5" customHeight="1">
      <c r="A9" s="80">
        <v>5</v>
      </c>
      <c r="B9" s="153"/>
      <c r="C9" s="11"/>
      <c r="D9" s="28"/>
      <c r="E9" s="507" t="s">
        <v>776</v>
      </c>
      <c r="F9" s="510" t="s">
        <v>815</v>
      </c>
      <c r="G9" s="82">
        <v>39902</v>
      </c>
    </row>
    <row r="10" spans="1:7" ht="19.5" customHeight="1">
      <c r="A10" s="80">
        <v>6</v>
      </c>
      <c r="B10" s="153"/>
      <c r="C10" s="11"/>
      <c r="D10" s="25"/>
      <c r="E10" s="507" t="s">
        <v>777</v>
      </c>
      <c r="F10" s="510" t="s">
        <v>816</v>
      </c>
      <c r="G10" s="82">
        <v>39792</v>
      </c>
    </row>
    <row r="11" spans="1:7" ht="19.5" customHeight="1">
      <c r="A11" s="80">
        <v>7</v>
      </c>
      <c r="B11" s="153"/>
      <c r="C11" s="11"/>
      <c r="D11" s="25"/>
      <c r="E11" s="508" t="s">
        <v>778</v>
      </c>
      <c r="F11" s="511" t="s">
        <v>817</v>
      </c>
      <c r="G11" s="514">
        <v>39989</v>
      </c>
    </row>
    <row r="12" spans="1:7" ht="19.5" customHeight="1">
      <c r="A12" s="80">
        <v>8</v>
      </c>
      <c r="B12" s="153"/>
      <c r="C12" s="11"/>
      <c r="D12" s="27"/>
      <c r="E12" s="507" t="s">
        <v>779</v>
      </c>
      <c r="F12" s="510" t="s">
        <v>818</v>
      </c>
      <c r="G12" s="514">
        <v>39332</v>
      </c>
    </row>
    <row r="13" spans="1:7" ht="19.5" customHeight="1">
      <c r="A13" s="80">
        <v>9</v>
      </c>
      <c r="B13" s="153"/>
      <c r="C13" s="646" t="s">
        <v>1896</v>
      </c>
      <c r="D13" s="235" t="s">
        <v>1353</v>
      </c>
      <c r="E13" s="517" t="s">
        <v>1904</v>
      </c>
      <c r="F13" s="524" t="s">
        <v>1905</v>
      </c>
      <c r="G13" s="518">
        <v>39977</v>
      </c>
    </row>
    <row r="14" spans="1:7" ht="19.5" customHeight="1">
      <c r="A14" s="80">
        <v>10</v>
      </c>
      <c r="B14" s="153"/>
      <c r="C14" s="11"/>
      <c r="D14" s="27"/>
      <c r="E14" s="507" t="s">
        <v>780</v>
      </c>
      <c r="F14" s="510" t="s">
        <v>819</v>
      </c>
      <c r="G14" s="82">
        <v>39734</v>
      </c>
    </row>
    <row r="15" spans="1:7" ht="19.5" customHeight="1">
      <c r="A15" s="80">
        <v>11</v>
      </c>
      <c r="B15" s="153"/>
      <c r="C15" s="11"/>
      <c r="D15" s="25"/>
      <c r="E15" s="507" t="s">
        <v>866</v>
      </c>
      <c r="F15" s="510" t="s">
        <v>820</v>
      </c>
      <c r="G15" s="82">
        <v>39858</v>
      </c>
    </row>
    <row r="16" spans="1:7" ht="19.5" customHeight="1">
      <c r="A16" s="80">
        <v>12</v>
      </c>
      <c r="B16" s="153"/>
      <c r="C16" s="11"/>
      <c r="D16" s="27"/>
      <c r="E16" s="421" t="s">
        <v>675</v>
      </c>
      <c r="F16" s="510" t="s">
        <v>676</v>
      </c>
      <c r="G16" s="82">
        <v>39950</v>
      </c>
    </row>
    <row r="17" spans="1:7" ht="19.5" customHeight="1">
      <c r="A17" s="80">
        <v>13</v>
      </c>
      <c r="B17" s="153"/>
      <c r="C17" s="11"/>
      <c r="D17" s="25"/>
      <c r="E17" s="507" t="s">
        <v>781</v>
      </c>
      <c r="F17" s="510" t="s">
        <v>821</v>
      </c>
      <c r="G17" s="82">
        <v>39804</v>
      </c>
    </row>
    <row r="18" spans="1:7" ht="19.5" customHeight="1">
      <c r="A18" s="80">
        <v>14</v>
      </c>
      <c r="B18" s="153"/>
      <c r="C18" s="11"/>
      <c r="D18" s="27"/>
      <c r="E18" s="507" t="s">
        <v>782</v>
      </c>
      <c r="F18" s="510" t="s">
        <v>822</v>
      </c>
      <c r="G18" s="82">
        <v>39811</v>
      </c>
    </row>
    <row r="19" spans="1:7" ht="19.5" customHeight="1">
      <c r="A19" s="80">
        <v>15</v>
      </c>
      <c r="B19" s="153"/>
      <c r="C19" s="11"/>
      <c r="D19" s="25"/>
      <c r="E19" s="507" t="s">
        <v>783</v>
      </c>
      <c r="F19" s="510" t="s">
        <v>823</v>
      </c>
      <c r="G19" s="82">
        <v>39384</v>
      </c>
    </row>
    <row r="20" spans="1:7" ht="19.5" customHeight="1">
      <c r="A20" s="80">
        <v>16</v>
      </c>
      <c r="B20" s="153"/>
      <c r="C20" s="11"/>
      <c r="D20" s="27"/>
      <c r="E20" s="507" t="s">
        <v>784</v>
      </c>
      <c r="F20" s="510" t="s">
        <v>824</v>
      </c>
      <c r="G20" s="82">
        <v>39897</v>
      </c>
    </row>
    <row r="21" spans="1:7" ht="19.5" customHeight="1">
      <c r="A21" s="80">
        <v>17</v>
      </c>
      <c r="B21" s="153"/>
      <c r="C21" s="11"/>
      <c r="D21" s="25"/>
      <c r="E21" s="507" t="s">
        <v>785</v>
      </c>
      <c r="F21" s="510" t="s">
        <v>825</v>
      </c>
      <c r="G21" s="82">
        <v>39854</v>
      </c>
    </row>
    <row r="22" spans="1:7" ht="19.5" customHeight="1">
      <c r="A22" s="80">
        <v>18</v>
      </c>
      <c r="B22" s="153"/>
      <c r="C22" s="11"/>
      <c r="D22" s="27"/>
      <c r="E22" s="507" t="s">
        <v>786</v>
      </c>
      <c r="F22" s="510" t="s">
        <v>826</v>
      </c>
      <c r="G22" s="82">
        <v>39491</v>
      </c>
    </row>
    <row r="23" spans="1:7" ht="19.5" customHeight="1">
      <c r="A23" s="80">
        <v>19</v>
      </c>
      <c r="B23" s="153"/>
      <c r="C23" s="11"/>
      <c r="D23" s="27"/>
      <c r="E23" s="507" t="s">
        <v>787</v>
      </c>
      <c r="F23" s="510" t="s">
        <v>827</v>
      </c>
      <c r="G23" s="82">
        <v>39331</v>
      </c>
    </row>
    <row r="24" spans="1:7" ht="19.5" customHeight="1">
      <c r="A24" s="80">
        <v>20</v>
      </c>
      <c r="B24" s="153"/>
      <c r="C24" s="11"/>
      <c r="D24" s="25"/>
      <c r="E24" s="507" t="s">
        <v>788</v>
      </c>
      <c r="F24" s="510" t="s">
        <v>828</v>
      </c>
      <c r="G24" s="82">
        <v>39639</v>
      </c>
    </row>
    <row r="25" spans="1:7" ht="19.5" customHeight="1">
      <c r="A25" s="80">
        <v>21</v>
      </c>
      <c r="B25" s="153"/>
      <c r="C25" s="11"/>
      <c r="D25" s="27"/>
      <c r="E25" s="507" t="s">
        <v>867</v>
      </c>
      <c r="F25" s="510" t="s">
        <v>829</v>
      </c>
      <c r="G25" s="82">
        <v>39831</v>
      </c>
    </row>
    <row r="26" spans="1:7" ht="19.5" customHeight="1">
      <c r="A26" s="80">
        <v>22</v>
      </c>
      <c r="B26" s="153"/>
      <c r="C26" s="11"/>
      <c r="D26" s="25"/>
      <c r="E26" s="507" t="s">
        <v>789</v>
      </c>
      <c r="F26" s="510" t="s">
        <v>830</v>
      </c>
      <c r="G26" s="82">
        <v>39831</v>
      </c>
    </row>
    <row r="27" spans="1:7" ht="19.5" customHeight="1">
      <c r="A27" s="80">
        <v>23</v>
      </c>
      <c r="B27" s="153"/>
      <c r="C27" s="11"/>
      <c r="D27" s="27"/>
      <c r="E27" s="507" t="s">
        <v>790</v>
      </c>
      <c r="F27" s="510" t="s">
        <v>831</v>
      </c>
      <c r="G27" s="82">
        <v>39916</v>
      </c>
    </row>
    <row r="28" spans="1:7" ht="19.5" customHeight="1">
      <c r="A28" s="80">
        <v>24</v>
      </c>
      <c r="B28" s="153"/>
      <c r="C28" s="11"/>
      <c r="D28" s="27"/>
      <c r="E28" s="507" t="s">
        <v>791</v>
      </c>
      <c r="F28" s="510" t="s">
        <v>832</v>
      </c>
      <c r="G28" s="82">
        <v>39778</v>
      </c>
    </row>
    <row r="29" spans="1:7" ht="19.5" customHeight="1">
      <c r="A29" s="80">
        <v>25</v>
      </c>
      <c r="B29" s="153"/>
      <c r="C29" s="11"/>
      <c r="D29" s="25"/>
      <c r="E29" s="507" t="s">
        <v>792</v>
      </c>
      <c r="F29" s="510" t="s">
        <v>833</v>
      </c>
      <c r="G29" s="82">
        <v>39807</v>
      </c>
    </row>
    <row r="30" spans="1:7" ht="19.5" customHeight="1">
      <c r="A30" s="80">
        <v>26</v>
      </c>
      <c r="B30" s="153"/>
      <c r="C30" s="11"/>
      <c r="D30" s="27"/>
      <c r="E30" s="507" t="s">
        <v>793</v>
      </c>
      <c r="F30" s="510" t="s">
        <v>834</v>
      </c>
      <c r="G30" s="82">
        <v>43260</v>
      </c>
    </row>
    <row r="31" spans="1:7" ht="19.5" customHeight="1">
      <c r="A31" s="80">
        <v>27</v>
      </c>
      <c r="B31" s="153"/>
      <c r="C31" s="11"/>
      <c r="D31" s="25"/>
      <c r="E31" s="507" t="s">
        <v>794</v>
      </c>
      <c r="F31" s="510" t="s">
        <v>835</v>
      </c>
      <c r="G31" s="82">
        <v>39856</v>
      </c>
    </row>
    <row r="32" spans="1:7" ht="19.5" customHeight="1">
      <c r="A32" s="80">
        <v>28</v>
      </c>
      <c r="B32" s="153"/>
      <c r="C32" s="11"/>
      <c r="D32" s="27"/>
      <c r="E32" s="507" t="s">
        <v>795</v>
      </c>
      <c r="F32" s="510" t="s">
        <v>836</v>
      </c>
      <c r="G32" s="82">
        <v>39549</v>
      </c>
    </row>
    <row r="33" spans="1:7" ht="19.5" customHeight="1">
      <c r="A33" s="80">
        <v>29</v>
      </c>
      <c r="B33" s="153"/>
      <c r="C33" s="11"/>
      <c r="D33" s="25"/>
      <c r="E33" s="507" t="s">
        <v>796</v>
      </c>
      <c r="F33" s="510" t="s">
        <v>837</v>
      </c>
      <c r="G33" s="82">
        <v>39847</v>
      </c>
    </row>
    <row r="34" spans="1:7" ht="19.5" customHeight="1">
      <c r="A34" s="80">
        <v>30</v>
      </c>
      <c r="B34" s="153"/>
      <c r="C34" s="11"/>
      <c r="D34" s="25"/>
      <c r="E34" s="507" t="s">
        <v>797</v>
      </c>
      <c r="F34" s="510" t="s">
        <v>838</v>
      </c>
      <c r="G34" s="82">
        <v>39862</v>
      </c>
    </row>
    <row r="35" spans="1:7" ht="19.5" customHeight="1">
      <c r="A35" s="80">
        <v>31</v>
      </c>
      <c r="B35" s="153"/>
      <c r="C35" s="11"/>
      <c r="D35" s="27"/>
      <c r="E35" s="507" t="s">
        <v>798</v>
      </c>
      <c r="F35" s="510" t="s">
        <v>839</v>
      </c>
      <c r="G35" s="82">
        <v>39976</v>
      </c>
    </row>
    <row r="36" spans="1:7" ht="19.5" customHeight="1">
      <c r="A36" s="80">
        <v>32</v>
      </c>
      <c r="B36" s="153"/>
      <c r="C36" s="11"/>
      <c r="D36" s="25"/>
      <c r="E36" s="507" t="s">
        <v>799</v>
      </c>
      <c r="F36" s="510" t="s">
        <v>840</v>
      </c>
      <c r="G36" s="82">
        <v>39533</v>
      </c>
    </row>
    <row r="37" spans="1:7" ht="19.5" customHeight="1">
      <c r="A37" s="80">
        <v>33</v>
      </c>
      <c r="B37" s="153"/>
      <c r="C37" s="11"/>
      <c r="D37" s="27"/>
      <c r="E37" s="507" t="s">
        <v>800</v>
      </c>
      <c r="F37" s="510" t="s">
        <v>841</v>
      </c>
      <c r="G37" s="82">
        <v>39662</v>
      </c>
    </row>
    <row r="38" spans="1:7" ht="19.5" customHeight="1">
      <c r="A38" s="80">
        <v>34</v>
      </c>
      <c r="B38" s="153"/>
      <c r="C38" s="11"/>
      <c r="D38" s="25"/>
      <c r="E38" s="507" t="s">
        <v>801</v>
      </c>
      <c r="F38" s="510" t="s">
        <v>842</v>
      </c>
      <c r="G38" s="82">
        <v>39575</v>
      </c>
    </row>
    <row r="39" spans="1:7" ht="19.5" customHeight="1">
      <c r="A39" s="80">
        <v>35</v>
      </c>
      <c r="B39" s="153"/>
      <c r="C39" s="11"/>
      <c r="D39" s="27"/>
      <c r="E39" s="507" t="s">
        <v>802</v>
      </c>
      <c r="F39" s="510" t="s">
        <v>843</v>
      </c>
      <c r="G39" s="82">
        <v>39643</v>
      </c>
    </row>
    <row r="40" spans="1:7" ht="19.5" customHeight="1">
      <c r="A40" s="80">
        <v>36</v>
      </c>
      <c r="B40" s="153"/>
      <c r="C40" s="11"/>
      <c r="D40" s="25"/>
      <c r="E40" s="507" t="s">
        <v>803</v>
      </c>
      <c r="F40" s="510" t="s">
        <v>844</v>
      </c>
      <c r="G40" s="82">
        <v>39126</v>
      </c>
    </row>
    <row r="41" spans="1:7" ht="19.5" customHeight="1">
      <c r="A41" s="80">
        <v>37</v>
      </c>
      <c r="B41" s="153"/>
      <c r="C41" s="11"/>
      <c r="D41" s="27"/>
      <c r="E41" s="507" t="s">
        <v>804</v>
      </c>
      <c r="F41" s="510" t="s">
        <v>845</v>
      </c>
      <c r="G41" s="82">
        <v>39909</v>
      </c>
    </row>
    <row r="42" spans="1:7" ht="19.5" customHeight="1">
      <c r="A42" s="80">
        <v>38</v>
      </c>
      <c r="B42" s="153"/>
      <c r="C42" s="11"/>
      <c r="D42" s="25"/>
      <c r="E42" s="507" t="s">
        <v>805</v>
      </c>
      <c r="F42" s="510" t="s">
        <v>846</v>
      </c>
      <c r="G42" s="82">
        <v>39753</v>
      </c>
    </row>
    <row r="43" spans="1:7" ht="19.5" customHeight="1">
      <c r="A43" s="80">
        <v>39</v>
      </c>
      <c r="B43" s="153"/>
      <c r="C43" s="11"/>
      <c r="D43" s="27"/>
      <c r="E43" s="515" t="s">
        <v>1908</v>
      </c>
      <c r="F43" s="516" t="s">
        <v>847</v>
      </c>
      <c r="G43" s="275">
        <v>39603</v>
      </c>
    </row>
    <row r="44" spans="1:7" ht="19.5" customHeight="1">
      <c r="A44" s="80">
        <v>40</v>
      </c>
      <c r="B44" s="153"/>
      <c r="C44" s="11"/>
      <c r="D44" s="25"/>
      <c r="E44" s="507" t="s">
        <v>806</v>
      </c>
      <c r="F44" s="510" t="s">
        <v>848</v>
      </c>
      <c r="G44" s="82">
        <v>39832</v>
      </c>
    </row>
    <row r="45" spans="1:7" ht="19.5" customHeight="1">
      <c r="A45" s="80">
        <v>41</v>
      </c>
      <c r="B45" s="153"/>
      <c r="C45" s="83"/>
      <c r="D45" s="132"/>
      <c r="E45" s="496" t="s">
        <v>807</v>
      </c>
      <c r="F45" s="512" t="s">
        <v>849</v>
      </c>
      <c r="G45" s="118">
        <v>39211</v>
      </c>
    </row>
    <row r="46" spans="1:7" ht="19.5" customHeight="1">
      <c r="A46" s="80">
        <v>42</v>
      </c>
      <c r="B46" s="153"/>
      <c r="C46" s="125"/>
      <c r="D46" s="408"/>
      <c r="E46" s="600" t="s">
        <v>808</v>
      </c>
      <c r="F46" s="513" t="s">
        <v>850</v>
      </c>
      <c r="G46" s="299">
        <v>39604</v>
      </c>
    </row>
    <row r="47" spans="1:7" ht="19.5" customHeight="1">
      <c r="A47" s="80">
        <v>43</v>
      </c>
      <c r="B47" s="153"/>
      <c r="C47" s="125"/>
      <c r="D47" s="408"/>
      <c r="E47" s="509" t="s">
        <v>809</v>
      </c>
      <c r="F47" s="513" t="s">
        <v>851</v>
      </c>
      <c r="G47" s="299">
        <v>39780</v>
      </c>
    </row>
    <row r="48" spans="1:7" ht="19.5" customHeight="1">
      <c r="A48" s="80">
        <v>44</v>
      </c>
      <c r="B48" s="153"/>
      <c r="C48" s="99"/>
      <c r="D48" s="407"/>
      <c r="E48" s="647" t="s">
        <v>810</v>
      </c>
      <c r="F48" s="648" t="s">
        <v>852</v>
      </c>
      <c r="G48" s="96">
        <v>39814</v>
      </c>
    </row>
    <row r="49" spans="1:7" ht="19.5" customHeight="1" thickBot="1">
      <c r="A49" s="238">
        <v>45</v>
      </c>
      <c r="B49" s="310"/>
      <c r="C49" s="239"/>
      <c r="D49" s="409"/>
      <c r="E49" s="483" t="s">
        <v>868</v>
      </c>
      <c r="F49" s="484" t="s">
        <v>869</v>
      </c>
      <c r="G49" s="96">
        <v>39710</v>
      </c>
    </row>
    <row r="50" spans="1:7" ht="19.5" customHeight="1" thickBot="1">
      <c r="A50" s="110" t="s">
        <v>10</v>
      </c>
      <c r="B50" s="229"/>
      <c r="C50" s="111"/>
      <c r="D50" s="706" t="s">
        <v>900</v>
      </c>
      <c r="E50" s="675"/>
      <c r="F50" s="676" t="s">
        <v>11</v>
      </c>
      <c r="G50" s="677"/>
    </row>
    <row r="51" spans="1:7" ht="19.5" customHeight="1">
      <c r="A51" s="718"/>
      <c r="B51" s="679"/>
      <c r="C51" s="679"/>
      <c r="D51" s="679"/>
      <c r="E51" s="679"/>
      <c r="F51" s="679"/>
      <c r="G51" s="680"/>
    </row>
    <row r="52" spans="1:7" ht="19.5" customHeight="1" thickBot="1">
      <c r="A52" s="681"/>
      <c r="B52" s="682"/>
      <c r="C52" s="682"/>
      <c r="D52" s="682"/>
      <c r="E52" s="682"/>
      <c r="F52" s="682"/>
      <c r="G52" s="683"/>
    </row>
  </sheetData>
  <sortState xmlns:xlrd2="http://schemas.microsoft.com/office/spreadsheetml/2017/richdata2" ref="E5:G49">
    <sortCondition ref="E5:E49"/>
  </sortState>
  <mergeCells count="11">
    <mergeCell ref="D50:E50"/>
    <mergeCell ref="F50:G50"/>
    <mergeCell ref="A51:G52"/>
    <mergeCell ref="F3:F4"/>
    <mergeCell ref="A1:D1"/>
    <mergeCell ref="E1:G1"/>
    <mergeCell ref="A2:G2"/>
    <mergeCell ref="A3:A4"/>
    <mergeCell ref="B3:B4"/>
    <mergeCell ref="C3:D3"/>
    <mergeCell ref="G3:G4"/>
  </mergeCells>
  <phoneticPr fontId="16" type="noConversion"/>
  <conditionalFormatting sqref="E5:E42 E44:E49">
    <cfRule type="cellIs" dxfId="6" priority="1" stopIfTrue="1" operator="between">
      <formula>1</formula>
      <formula>3.9</formula>
    </cfRule>
  </conditionalFormatting>
  <pageMargins left="0.82" right="0.17" top="0.39370078740157483" bottom="0.39370078740157483" header="0" footer="0"/>
  <pageSetup scale="71" orientation="portrait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52"/>
  <sheetViews>
    <sheetView showGridLines="0" topLeftCell="A39" zoomScaleNormal="100" workbookViewId="0">
      <selection activeCell="F65" sqref="F65"/>
    </sheetView>
  </sheetViews>
  <sheetFormatPr baseColWidth="10" defaultColWidth="12.5703125" defaultRowHeight="15" customHeight="1"/>
  <cols>
    <col min="1" max="2" width="5.7109375" customWidth="1"/>
    <col min="3" max="3" width="10.7109375" customWidth="1"/>
    <col min="4" max="4" width="14.28515625" customWidth="1"/>
    <col min="5" max="5" width="60.7109375" customWidth="1"/>
    <col min="6" max="7" width="14.7109375" customWidth="1"/>
    <col min="8" max="10" width="11.42578125" customWidth="1"/>
    <col min="11" max="26" width="10.5703125" customWidth="1"/>
  </cols>
  <sheetData>
    <row r="1" spans="1:8" ht="72.75" customHeight="1" thickBot="1">
      <c r="A1" s="684"/>
      <c r="B1" s="685"/>
      <c r="C1" s="685"/>
      <c r="D1" s="685"/>
      <c r="E1" s="686" t="s">
        <v>0</v>
      </c>
      <c r="F1" s="685"/>
      <c r="G1" s="687"/>
      <c r="H1" s="2"/>
    </row>
    <row r="2" spans="1:8" ht="19.5" customHeight="1" thickBot="1">
      <c r="A2" s="732" t="s">
        <v>1343</v>
      </c>
      <c r="B2" s="733"/>
      <c r="C2" s="733"/>
      <c r="D2" s="733"/>
      <c r="E2" s="733"/>
      <c r="F2" s="733"/>
      <c r="G2" s="734"/>
      <c r="H2" s="2"/>
    </row>
    <row r="3" spans="1:8" ht="19.5" customHeight="1">
      <c r="A3" s="691" t="s">
        <v>2</v>
      </c>
      <c r="B3" s="691" t="s">
        <v>3</v>
      </c>
      <c r="C3" s="713" t="s">
        <v>4</v>
      </c>
      <c r="D3" s="714"/>
      <c r="E3" s="4" t="s">
        <v>1359</v>
      </c>
      <c r="F3" s="691" t="s">
        <v>5</v>
      </c>
      <c r="G3" s="691" t="s">
        <v>6</v>
      </c>
      <c r="H3" s="16"/>
    </row>
    <row r="4" spans="1:8" ht="19.5" customHeight="1" thickBot="1">
      <c r="A4" s="673"/>
      <c r="B4" s="673"/>
      <c r="C4" s="5" t="s">
        <v>7</v>
      </c>
      <c r="D4" s="5" t="s">
        <v>8</v>
      </c>
      <c r="E4" s="30" t="s">
        <v>9</v>
      </c>
      <c r="F4" s="731"/>
      <c r="G4" s="712"/>
      <c r="H4" s="16"/>
    </row>
    <row r="5" spans="1:8" ht="19.5" customHeight="1">
      <c r="A5" s="89">
        <v>1</v>
      </c>
      <c r="B5" s="151"/>
      <c r="C5" s="87"/>
      <c r="D5" s="31"/>
      <c r="E5" s="32" t="s">
        <v>697</v>
      </c>
      <c r="F5" s="22" t="s">
        <v>732</v>
      </c>
      <c r="G5" s="33">
        <v>39719</v>
      </c>
      <c r="H5" s="8"/>
    </row>
    <row r="6" spans="1:8" ht="19.5" customHeight="1">
      <c r="A6" s="98">
        <v>2</v>
      </c>
      <c r="B6" s="152"/>
      <c r="C6" s="88"/>
      <c r="D6" s="375"/>
      <c r="E6" s="26" t="s">
        <v>698</v>
      </c>
      <c r="F6" s="23" t="s">
        <v>733</v>
      </c>
      <c r="G6" s="29">
        <v>39905</v>
      </c>
      <c r="H6" s="8"/>
    </row>
    <row r="7" spans="1:8" ht="19.5" customHeight="1">
      <c r="A7" s="98">
        <v>3</v>
      </c>
      <c r="B7" s="152"/>
      <c r="C7" s="88"/>
      <c r="D7" s="25"/>
      <c r="E7" s="26" t="s">
        <v>699</v>
      </c>
      <c r="F7" s="23" t="s">
        <v>734</v>
      </c>
      <c r="G7" s="29">
        <v>39805</v>
      </c>
      <c r="H7" s="8"/>
    </row>
    <row r="8" spans="1:8" ht="19.5" customHeight="1">
      <c r="A8" s="98">
        <v>4</v>
      </c>
      <c r="B8" s="152"/>
      <c r="C8" s="88"/>
      <c r="D8" s="25"/>
      <c r="E8" s="26" t="s">
        <v>884</v>
      </c>
      <c r="F8" s="23" t="s">
        <v>735</v>
      </c>
      <c r="G8" s="29">
        <v>39674</v>
      </c>
      <c r="H8" s="8"/>
    </row>
    <row r="9" spans="1:8" ht="19.5" customHeight="1">
      <c r="A9" s="98">
        <v>5</v>
      </c>
      <c r="B9" s="152"/>
      <c r="C9" s="88"/>
      <c r="D9" s="25"/>
      <c r="E9" s="26" t="s">
        <v>700</v>
      </c>
      <c r="F9" s="23" t="s">
        <v>736</v>
      </c>
      <c r="G9" s="29">
        <v>39767</v>
      </c>
      <c r="H9" s="8"/>
    </row>
    <row r="10" spans="1:8" ht="19.5" customHeight="1">
      <c r="A10" s="98">
        <v>6</v>
      </c>
      <c r="B10" s="152"/>
      <c r="C10" s="88"/>
      <c r="D10" s="25"/>
      <c r="E10" s="26" t="s">
        <v>701</v>
      </c>
      <c r="F10" s="23" t="s">
        <v>737</v>
      </c>
      <c r="G10" s="29">
        <v>39636</v>
      </c>
      <c r="H10" s="8"/>
    </row>
    <row r="11" spans="1:8" ht="19.5" customHeight="1">
      <c r="A11" s="98">
        <v>7</v>
      </c>
      <c r="B11" s="152"/>
      <c r="C11" s="88"/>
      <c r="D11" s="235"/>
      <c r="E11" s="26" t="s">
        <v>702</v>
      </c>
      <c r="F11" s="23" t="s">
        <v>738</v>
      </c>
      <c r="G11" s="29">
        <v>39713</v>
      </c>
      <c r="H11" s="8"/>
    </row>
    <row r="12" spans="1:8" ht="19.5" customHeight="1">
      <c r="A12" s="98">
        <v>8</v>
      </c>
      <c r="B12" s="152"/>
      <c r="C12" s="88"/>
      <c r="D12" s="25"/>
      <c r="E12" s="26" t="s">
        <v>703</v>
      </c>
      <c r="F12" s="23" t="s">
        <v>739</v>
      </c>
      <c r="G12" s="29">
        <v>39907</v>
      </c>
      <c r="H12" s="8"/>
    </row>
    <row r="13" spans="1:8" ht="19.5" customHeight="1">
      <c r="A13" s="98">
        <v>9</v>
      </c>
      <c r="B13" s="152"/>
      <c r="C13" s="88"/>
      <c r="D13" s="25"/>
      <c r="E13" s="26" t="s">
        <v>704</v>
      </c>
      <c r="F13" s="23" t="s">
        <v>740</v>
      </c>
      <c r="G13" s="29">
        <v>39664</v>
      </c>
      <c r="H13" s="8"/>
    </row>
    <row r="14" spans="1:8" ht="19.5" customHeight="1">
      <c r="A14" s="98">
        <v>10</v>
      </c>
      <c r="B14" s="152"/>
      <c r="C14" s="88"/>
      <c r="D14" s="28"/>
      <c r="E14" s="26" t="s">
        <v>705</v>
      </c>
      <c r="F14" s="23" t="s">
        <v>741</v>
      </c>
      <c r="G14" s="29">
        <v>39727</v>
      </c>
      <c r="H14" s="8"/>
    </row>
    <row r="15" spans="1:8" ht="19.5" customHeight="1">
      <c r="A15" s="98">
        <v>11</v>
      </c>
      <c r="B15" s="152"/>
      <c r="C15" s="88"/>
      <c r="D15" s="25"/>
      <c r="E15" s="26" t="s">
        <v>706</v>
      </c>
      <c r="F15" s="23" t="s">
        <v>742</v>
      </c>
      <c r="G15" s="29">
        <v>39808</v>
      </c>
      <c r="H15" s="8"/>
    </row>
    <row r="16" spans="1:8" ht="19.5" customHeight="1">
      <c r="A16" s="98">
        <v>12</v>
      </c>
      <c r="B16" s="152"/>
      <c r="C16" s="88"/>
      <c r="D16" s="25"/>
      <c r="E16" s="26" t="s">
        <v>707</v>
      </c>
      <c r="F16" s="23" t="s">
        <v>743</v>
      </c>
      <c r="G16" s="29">
        <v>39703</v>
      </c>
      <c r="H16" s="8"/>
    </row>
    <row r="17" spans="1:10" ht="19.5" customHeight="1">
      <c r="A17" s="98">
        <v>13</v>
      </c>
      <c r="B17" s="152"/>
      <c r="C17" s="88"/>
      <c r="D17" s="28"/>
      <c r="E17" s="26" t="s">
        <v>1260</v>
      </c>
      <c r="F17" s="23" t="s">
        <v>744</v>
      </c>
      <c r="G17" s="29">
        <v>39962</v>
      </c>
      <c r="H17" s="8"/>
      <c r="I17" s="14"/>
      <c r="J17" s="14"/>
    </row>
    <row r="18" spans="1:10" ht="19.5" customHeight="1">
      <c r="A18" s="98">
        <v>14</v>
      </c>
      <c r="B18" s="152"/>
      <c r="C18" s="88"/>
      <c r="D18" s="25"/>
      <c r="E18" s="26" t="s">
        <v>708</v>
      </c>
      <c r="F18" s="23" t="s">
        <v>746</v>
      </c>
      <c r="G18" s="81">
        <v>39942</v>
      </c>
      <c r="H18" s="8"/>
      <c r="I18" s="14"/>
      <c r="J18" s="14"/>
    </row>
    <row r="19" spans="1:10" ht="19.5" customHeight="1">
      <c r="A19" s="98">
        <v>15</v>
      </c>
      <c r="B19" s="152"/>
      <c r="C19" s="88"/>
      <c r="D19" s="28"/>
      <c r="E19" s="26" t="s">
        <v>870</v>
      </c>
      <c r="F19" s="23" t="s">
        <v>745</v>
      </c>
      <c r="G19" s="29">
        <v>39653</v>
      </c>
      <c r="H19" s="8"/>
      <c r="I19" s="14"/>
      <c r="J19" s="14"/>
    </row>
    <row r="20" spans="1:10" ht="19.5" customHeight="1">
      <c r="A20" s="98">
        <v>16</v>
      </c>
      <c r="B20" s="152"/>
      <c r="C20" s="88"/>
      <c r="D20" s="25"/>
      <c r="E20" s="26" t="s">
        <v>709</v>
      </c>
      <c r="F20" s="23" t="s">
        <v>747</v>
      </c>
      <c r="G20" s="374">
        <v>39641</v>
      </c>
      <c r="H20" s="8"/>
      <c r="I20" s="14"/>
      <c r="J20" s="14"/>
    </row>
    <row r="21" spans="1:10" ht="19.5" customHeight="1">
      <c r="A21" s="98">
        <v>17</v>
      </c>
      <c r="B21" s="152"/>
      <c r="C21" s="88"/>
      <c r="D21" s="25"/>
      <c r="E21" s="26" t="s">
        <v>890</v>
      </c>
      <c r="F21" s="23" t="s">
        <v>748</v>
      </c>
      <c r="G21" s="142">
        <v>39794</v>
      </c>
      <c r="H21" s="8"/>
      <c r="I21" s="14"/>
      <c r="J21" s="14"/>
    </row>
    <row r="22" spans="1:10" ht="19.5" customHeight="1">
      <c r="A22" s="98">
        <v>18</v>
      </c>
      <c r="B22" s="152"/>
      <c r="C22" s="88"/>
      <c r="D22" s="25"/>
      <c r="E22" s="26" t="s">
        <v>620</v>
      </c>
      <c r="F22" s="23" t="s">
        <v>621</v>
      </c>
      <c r="G22" s="29">
        <v>39568</v>
      </c>
      <c r="H22" s="8"/>
      <c r="I22" s="14"/>
      <c r="J22" s="14"/>
    </row>
    <row r="23" spans="1:10" ht="19.5" customHeight="1">
      <c r="A23" s="98">
        <v>19</v>
      </c>
      <c r="B23" s="152"/>
      <c r="C23" s="88"/>
      <c r="D23" s="28"/>
      <c r="E23" s="26" t="s">
        <v>710</v>
      </c>
      <c r="F23" s="23" t="s">
        <v>749</v>
      </c>
      <c r="G23" s="29">
        <v>39605</v>
      </c>
      <c r="H23" s="8"/>
      <c r="I23" s="14"/>
      <c r="J23" s="14"/>
    </row>
    <row r="24" spans="1:10" ht="19.5" customHeight="1">
      <c r="A24" s="98">
        <v>20</v>
      </c>
      <c r="B24" s="152"/>
      <c r="C24" s="170"/>
      <c r="D24" s="25"/>
      <c r="E24" s="26" t="s">
        <v>711</v>
      </c>
      <c r="F24" s="23" t="s">
        <v>750</v>
      </c>
      <c r="G24" s="29">
        <v>39690</v>
      </c>
      <c r="H24" s="222"/>
      <c r="I24" s="14"/>
      <c r="J24" s="14"/>
    </row>
    <row r="25" spans="1:10" ht="19.5" customHeight="1">
      <c r="A25" s="98">
        <v>21</v>
      </c>
      <c r="B25" s="152"/>
      <c r="C25" s="170"/>
      <c r="D25" s="28"/>
      <c r="E25" s="26" t="s">
        <v>712</v>
      </c>
      <c r="F25" s="23" t="s">
        <v>752</v>
      </c>
      <c r="G25" s="29">
        <v>39806</v>
      </c>
      <c r="H25" s="222"/>
      <c r="I25" s="14"/>
    </row>
    <row r="26" spans="1:10" ht="19.5" customHeight="1">
      <c r="A26" s="98">
        <v>22</v>
      </c>
      <c r="B26" s="152"/>
      <c r="C26" s="170"/>
      <c r="D26" s="235"/>
      <c r="E26" s="26" t="s">
        <v>713</v>
      </c>
      <c r="F26" s="23" t="s">
        <v>753</v>
      </c>
      <c r="G26" s="29">
        <v>40174</v>
      </c>
      <c r="H26" s="222"/>
      <c r="I26" s="14"/>
      <c r="J26" s="14"/>
    </row>
    <row r="27" spans="1:10" ht="19.5" customHeight="1">
      <c r="A27" s="98">
        <v>23</v>
      </c>
      <c r="B27" s="152"/>
      <c r="C27" s="170"/>
      <c r="D27" s="28"/>
      <c r="E27" s="26" t="s">
        <v>714</v>
      </c>
      <c r="F27" s="23" t="s">
        <v>754</v>
      </c>
      <c r="G27" s="29">
        <v>39935</v>
      </c>
      <c r="H27" s="222"/>
      <c r="I27" s="14"/>
      <c r="J27" s="14"/>
    </row>
    <row r="28" spans="1:10" ht="19.5" customHeight="1">
      <c r="A28" s="98">
        <v>24</v>
      </c>
      <c r="B28" s="152"/>
      <c r="C28" s="170"/>
      <c r="D28" s="25"/>
      <c r="E28" s="26" t="s">
        <v>871</v>
      </c>
      <c r="F28" s="23" t="s">
        <v>751</v>
      </c>
      <c r="G28" s="29">
        <v>39382</v>
      </c>
      <c r="H28" s="222"/>
      <c r="I28" s="14"/>
      <c r="J28" s="14"/>
    </row>
    <row r="29" spans="1:10" ht="19.5" customHeight="1">
      <c r="A29" s="98">
        <v>25</v>
      </c>
      <c r="B29" s="152"/>
      <c r="C29" s="88"/>
      <c r="D29" s="28"/>
      <c r="E29" s="26" t="s">
        <v>715</v>
      </c>
      <c r="F29" s="23" t="s">
        <v>755</v>
      </c>
      <c r="G29" s="29">
        <v>39870</v>
      </c>
      <c r="H29" s="8"/>
      <c r="I29" s="14"/>
      <c r="J29" s="14"/>
    </row>
    <row r="30" spans="1:10" ht="19.5" customHeight="1">
      <c r="A30" s="98">
        <v>26</v>
      </c>
      <c r="B30" s="152"/>
      <c r="C30" s="88"/>
      <c r="D30" s="25"/>
      <c r="E30" s="26" t="s">
        <v>716</v>
      </c>
      <c r="F30" s="23" t="s">
        <v>756</v>
      </c>
      <c r="G30" s="29">
        <v>39591</v>
      </c>
      <c r="H30" s="8"/>
      <c r="I30" s="14"/>
      <c r="J30" s="14"/>
    </row>
    <row r="31" spans="1:10" ht="19.5" customHeight="1">
      <c r="A31" s="98">
        <v>27</v>
      </c>
      <c r="B31" s="152"/>
      <c r="C31" s="88"/>
      <c r="D31" s="25"/>
      <c r="E31" s="26" t="s">
        <v>717</v>
      </c>
      <c r="F31" s="23" t="s">
        <v>757</v>
      </c>
      <c r="G31" s="29">
        <v>39738</v>
      </c>
      <c r="H31" s="8"/>
      <c r="I31" s="14"/>
      <c r="J31" s="14"/>
    </row>
    <row r="32" spans="1:10" ht="19.5" customHeight="1">
      <c r="A32" s="98">
        <v>28</v>
      </c>
      <c r="B32" s="152"/>
      <c r="C32" s="88"/>
      <c r="D32" s="28"/>
      <c r="E32" s="26" t="s">
        <v>718</v>
      </c>
      <c r="F32" s="23" t="s">
        <v>758</v>
      </c>
      <c r="G32" s="29">
        <v>39573</v>
      </c>
      <c r="H32" s="8"/>
      <c r="I32" s="14"/>
      <c r="J32" s="14"/>
    </row>
    <row r="33" spans="1:8" ht="19.5" customHeight="1">
      <c r="A33" s="98">
        <v>29</v>
      </c>
      <c r="B33" s="152"/>
      <c r="C33" s="88"/>
      <c r="D33" s="25" t="s">
        <v>1353</v>
      </c>
      <c r="E33" s="521" t="s">
        <v>1379</v>
      </c>
      <c r="F33" s="522" t="s">
        <v>1380</v>
      </c>
      <c r="G33" s="523">
        <v>46935</v>
      </c>
      <c r="H33" s="8"/>
    </row>
    <row r="34" spans="1:8" ht="19.5" customHeight="1">
      <c r="A34" s="98">
        <v>30</v>
      </c>
      <c r="B34" s="152"/>
      <c r="C34" s="88"/>
      <c r="D34" s="28"/>
      <c r="E34" s="26" t="s">
        <v>719</v>
      </c>
      <c r="F34" s="23" t="s">
        <v>759</v>
      </c>
      <c r="G34" s="29">
        <v>39637</v>
      </c>
      <c r="H34" s="8"/>
    </row>
    <row r="35" spans="1:8" ht="19.5" customHeight="1">
      <c r="A35" s="98">
        <v>31</v>
      </c>
      <c r="B35" s="152"/>
      <c r="C35" s="88"/>
      <c r="D35" s="235"/>
      <c r="E35" s="26" t="s">
        <v>720</v>
      </c>
      <c r="F35" s="23" t="s">
        <v>760</v>
      </c>
      <c r="G35" s="29">
        <v>39849</v>
      </c>
      <c r="H35" s="8"/>
    </row>
    <row r="36" spans="1:8" ht="19.5" customHeight="1">
      <c r="A36" s="98">
        <v>32</v>
      </c>
      <c r="B36" s="152"/>
      <c r="C36" s="88"/>
      <c r="D36" s="375"/>
      <c r="E36" s="26" t="s">
        <v>721</v>
      </c>
      <c r="F36" s="23" t="s">
        <v>761</v>
      </c>
      <c r="G36" s="29">
        <v>39737</v>
      </c>
      <c r="H36" s="8"/>
    </row>
    <row r="37" spans="1:8" ht="19.5" customHeight="1">
      <c r="A37" s="98">
        <v>33</v>
      </c>
      <c r="B37" s="152"/>
      <c r="C37" s="88"/>
      <c r="D37" s="375"/>
      <c r="E37" s="26" t="s">
        <v>722</v>
      </c>
      <c r="F37" s="23" t="s">
        <v>762</v>
      </c>
      <c r="G37" s="29">
        <v>39811</v>
      </c>
      <c r="H37" s="8"/>
    </row>
    <row r="38" spans="1:8" ht="19.5" customHeight="1">
      <c r="A38" s="98">
        <v>34</v>
      </c>
      <c r="B38" s="152"/>
      <c r="C38" s="88"/>
      <c r="D38" s="375"/>
      <c r="E38" s="26" t="s">
        <v>723</v>
      </c>
      <c r="F38" s="23" t="s">
        <v>763</v>
      </c>
      <c r="G38" s="29">
        <v>39641</v>
      </c>
      <c r="H38" s="8"/>
    </row>
    <row r="39" spans="1:8" ht="19.5" customHeight="1">
      <c r="A39" s="98">
        <v>35</v>
      </c>
      <c r="B39" s="152"/>
      <c r="C39" s="88"/>
      <c r="D39" s="235"/>
      <c r="E39" s="26" t="s">
        <v>1327</v>
      </c>
      <c r="F39" s="23" t="s">
        <v>1328</v>
      </c>
      <c r="G39" s="29">
        <v>39557</v>
      </c>
      <c r="H39" s="8"/>
    </row>
    <row r="40" spans="1:8" ht="19.5" customHeight="1">
      <c r="A40" s="98">
        <v>36</v>
      </c>
      <c r="B40" s="152"/>
      <c r="C40" s="88"/>
      <c r="D40" s="28"/>
      <c r="E40" s="26" t="s">
        <v>724</v>
      </c>
      <c r="F40" s="23" t="s">
        <v>764</v>
      </c>
      <c r="G40" s="29">
        <v>39743</v>
      </c>
      <c r="H40" s="8"/>
    </row>
    <row r="41" spans="1:8" ht="19.5" customHeight="1">
      <c r="A41" s="98">
        <v>37</v>
      </c>
      <c r="B41" s="152"/>
      <c r="C41" s="88"/>
      <c r="D41" s="25"/>
      <c r="E41" s="26" t="s">
        <v>725</v>
      </c>
      <c r="F41" s="23" t="s">
        <v>765</v>
      </c>
      <c r="G41" s="29">
        <v>39850</v>
      </c>
      <c r="H41" s="8"/>
    </row>
    <row r="42" spans="1:8" ht="19.5" customHeight="1">
      <c r="A42" s="98">
        <v>38</v>
      </c>
      <c r="B42" s="152"/>
      <c r="C42" s="88"/>
      <c r="D42" s="28"/>
      <c r="E42" s="26" t="s">
        <v>726</v>
      </c>
      <c r="F42" s="23" t="s">
        <v>766</v>
      </c>
      <c r="G42" s="29">
        <v>39934</v>
      </c>
      <c r="H42" s="8"/>
    </row>
    <row r="43" spans="1:8" ht="19.5" customHeight="1">
      <c r="A43" s="98">
        <v>39</v>
      </c>
      <c r="B43" s="152"/>
      <c r="C43" s="88"/>
      <c r="D43" s="25"/>
      <c r="E43" s="26" t="s">
        <v>727</v>
      </c>
      <c r="F43" s="23" t="s">
        <v>767</v>
      </c>
      <c r="G43" s="29">
        <v>39525</v>
      </c>
      <c r="H43" s="8"/>
    </row>
    <row r="44" spans="1:8" ht="19.5" customHeight="1">
      <c r="A44" s="98">
        <v>40</v>
      </c>
      <c r="B44" s="152"/>
      <c r="C44" s="88"/>
      <c r="D44" s="28"/>
      <c r="E44" s="26" t="s">
        <v>728</v>
      </c>
      <c r="F44" s="23" t="s">
        <v>768</v>
      </c>
      <c r="G44" s="29">
        <v>39877</v>
      </c>
      <c r="H44" s="8"/>
    </row>
    <row r="45" spans="1:8" ht="19.5" customHeight="1">
      <c r="A45" s="98">
        <v>41</v>
      </c>
      <c r="B45" s="152"/>
      <c r="C45" s="88"/>
      <c r="D45" s="25"/>
      <c r="E45" s="26" t="s">
        <v>729</v>
      </c>
      <c r="F45" s="23" t="s">
        <v>769</v>
      </c>
      <c r="G45" s="29">
        <v>39766</v>
      </c>
      <c r="H45" s="8"/>
    </row>
    <row r="46" spans="1:8" ht="19.5" customHeight="1">
      <c r="A46" s="98">
        <v>42</v>
      </c>
      <c r="B46" s="152"/>
      <c r="C46" s="88"/>
      <c r="D46" s="28"/>
      <c r="E46" s="26" t="s">
        <v>730</v>
      </c>
      <c r="F46" s="23" t="s">
        <v>770</v>
      </c>
      <c r="G46" s="29">
        <v>39827</v>
      </c>
      <c r="H46" s="8"/>
    </row>
    <row r="47" spans="1:8" ht="19.5" customHeight="1">
      <c r="A47" s="98">
        <v>43</v>
      </c>
      <c r="B47" s="152"/>
      <c r="C47" s="88"/>
      <c r="D47" s="25"/>
      <c r="E47" s="26" t="s">
        <v>731</v>
      </c>
      <c r="F47" s="23" t="s">
        <v>771</v>
      </c>
      <c r="G47" s="29">
        <v>39695</v>
      </c>
      <c r="H47" s="8"/>
    </row>
    <row r="48" spans="1:8" ht="19.5" customHeight="1">
      <c r="A48" s="98">
        <v>44</v>
      </c>
      <c r="B48" s="152"/>
      <c r="C48" s="88"/>
      <c r="D48" s="342"/>
      <c r="E48" s="26" t="s">
        <v>1337</v>
      </c>
      <c r="F48" s="23" t="s">
        <v>772</v>
      </c>
      <c r="G48" s="142">
        <v>39278</v>
      </c>
      <c r="H48" s="8"/>
    </row>
    <row r="49" spans="1:8" ht="19.5" customHeight="1" thickBot="1">
      <c r="A49" s="90">
        <v>45</v>
      </c>
      <c r="B49" s="327"/>
      <c r="C49" s="141"/>
      <c r="D49" s="376"/>
      <c r="E49" s="377"/>
      <c r="F49" s="378"/>
      <c r="G49" s="379"/>
      <c r="H49" s="8"/>
    </row>
    <row r="50" spans="1:8" ht="19.5" customHeight="1" thickBot="1">
      <c r="A50" s="110" t="s">
        <v>10</v>
      </c>
      <c r="B50" s="111"/>
      <c r="C50" s="111"/>
      <c r="D50" s="706" t="s">
        <v>901</v>
      </c>
      <c r="E50" s="675"/>
      <c r="F50" s="676" t="s">
        <v>11</v>
      </c>
      <c r="G50" s="677"/>
      <c r="H50" s="9"/>
    </row>
    <row r="51" spans="1:8" ht="19.5" customHeight="1">
      <c r="A51" s="722" t="s">
        <v>13</v>
      </c>
      <c r="B51" s="679"/>
      <c r="C51" s="679"/>
      <c r="D51" s="679"/>
      <c r="E51" s="679"/>
      <c r="F51" s="679"/>
      <c r="G51" s="680"/>
      <c r="H51" s="2"/>
    </row>
    <row r="52" spans="1:8" ht="19.5" customHeight="1" thickBot="1">
      <c r="A52" s="681"/>
      <c r="B52" s="682"/>
      <c r="C52" s="682"/>
      <c r="D52" s="682"/>
      <c r="E52" s="682"/>
      <c r="F52" s="682"/>
      <c r="G52" s="683"/>
      <c r="H52" s="2"/>
    </row>
  </sheetData>
  <sortState xmlns:xlrd2="http://schemas.microsoft.com/office/spreadsheetml/2017/richdata2" ref="E6:G48">
    <sortCondition ref="E5:E48"/>
  </sortState>
  <mergeCells count="11">
    <mergeCell ref="A51:G52"/>
    <mergeCell ref="F3:F4"/>
    <mergeCell ref="A1:D1"/>
    <mergeCell ref="E1:G1"/>
    <mergeCell ref="A2:G2"/>
    <mergeCell ref="A3:A4"/>
    <mergeCell ref="B3:B4"/>
    <mergeCell ref="C3:D3"/>
    <mergeCell ref="G3:G4"/>
    <mergeCell ref="D50:E50"/>
    <mergeCell ref="F50:G50"/>
  </mergeCells>
  <phoneticPr fontId="16" type="noConversion"/>
  <conditionalFormatting sqref="E5:E7">
    <cfRule type="cellIs" dxfId="5" priority="2" stopIfTrue="1" operator="between">
      <formula>1</formula>
      <formula>3.9</formula>
    </cfRule>
  </conditionalFormatting>
  <conditionalFormatting sqref="E9:E49">
    <cfRule type="cellIs" dxfId="4" priority="1" stopIfTrue="1" operator="between">
      <formula>1</formula>
      <formula>3.9</formula>
    </cfRule>
  </conditionalFormatting>
  <pageMargins left="0.82" right="0.17" top="0.39370078740157483" bottom="0.39370078740157483" header="0" footer="0"/>
  <pageSetup scale="69" orientation="portrait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52"/>
  <sheetViews>
    <sheetView showGridLines="0" topLeftCell="A39" zoomScaleNormal="100" workbookViewId="0">
      <selection activeCell="E31" sqref="E31"/>
    </sheetView>
  </sheetViews>
  <sheetFormatPr baseColWidth="10" defaultColWidth="12.5703125" defaultRowHeight="15" customHeight="1"/>
  <cols>
    <col min="1" max="2" width="5.7109375" customWidth="1"/>
    <col min="3" max="3" width="10.7109375" customWidth="1"/>
    <col min="4" max="4" width="14.28515625" customWidth="1"/>
    <col min="5" max="5" width="60.7109375" customWidth="1"/>
    <col min="6" max="7" width="14.7109375" customWidth="1"/>
    <col min="8" max="23" width="11.42578125" customWidth="1"/>
    <col min="24" max="26" width="10.5703125" customWidth="1"/>
  </cols>
  <sheetData>
    <row r="1" spans="1:7" ht="72.75" customHeight="1" thickBot="1">
      <c r="A1" s="684"/>
      <c r="B1" s="685"/>
      <c r="C1" s="685"/>
      <c r="D1" s="685"/>
      <c r="E1" s="686" t="s">
        <v>0</v>
      </c>
      <c r="F1" s="685"/>
      <c r="G1" s="687"/>
    </row>
    <row r="2" spans="1:7" ht="19.5" customHeight="1" thickBot="1">
      <c r="A2" s="719" t="s">
        <v>1342</v>
      </c>
      <c r="B2" s="720"/>
      <c r="C2" s="720"/>
      <c r="D2" s="720"/>
      <c r="E2" s="720"/>
      <c r="F2" s="720"/>
      <c r="G2" s="721"/>
    </row>
    <row r="3" spans="1:7" ht="19.5" customHeight="1" thickBot="1">
      <c r="A3" s="691" t="s">
        <v>2</v>
      </c>
      <c r="B3" s="692" t="s">
        <v>3</v>
      </c>
      <c r="C3" s="693" t="s">
        <v>4</v>
      </c>
      <c r="D3" s="675"/>
      <c r="E3" s="107" t="s">
        <v>1360</v>
      </c>
      <c r="F3" s="672" t="s">
        <v>5</v>
      </c>
      <c r="G3" s="691" t="s">
        <v>6</v>
      </c>
    </row>
    <row r="4" spans="1:7" ht="19.5" customHeight="1" thickBot="1">
      <c r="A4" s="712"/>
      <c r="B4" s="673"/>
      <c r="C4" s="119" t="s">
        <v>7</v>
      </c>
      <c r="D4" s="106" t="s">
        <v>8</v>
      </c>
      <c r="E4" s="119" t="s">
        <v>9</v>
      </c>
      <c r="F4" s="673"/>
      <c r="G4" s="673"/>
    </row>
    <row r="5" spans="1:7" ht="19.5" customHeight="1">
      <c r="A5" s="114">
        <v>1</v>
      </c>
      <c r="B5" s="144"/>
      <c r="C5" s="146"/>
      <c r="D5" s="148"/>
      <c r="E5" s="147" t="s">
        <v>471</v>
      </c>
      <c r="F5" s="136" t="s">
        <v>472</v>
      </c>
      <c r="G5" s="113">
        <v>39804</v>
      </c>
    </row>
    <row r="6" spans="1:7" ht="19.5" customHeight="1">
      <c r="A6" s="115">
        <v>2</v>
      </c>
      <c r="B6" s="145"/>
      <c r="C6" s="146"/>
      <c r="D6" s="149"/>
      <c r="E6" s="147" t="s">
        <v>473</v>
      </c>
      <c r="F6" s="137" t="s">
        <v>474</v>
      </c>
      <c r="G6" s="82">
        <v>39881</v>
      </c>
    </row>
    <row r="7" spans="1:7" ht="19.5" customHeight="1">
      <c r="A7" s="115">
        <v>3</v>
      </c>
      <c r="B7" s="145"/>
      <c r="C7" s="223"/>
      <c r="D7" s="149"/>
      <c r="E7" s="147" t="s">
        <v>475</v>
      </c>
      <c r="F7" s="137" t="s">
        <v>476</v>
      </c>
      <c r="G7" s="172">
        <v>39914</v>
      </c>
    </row>
    <row r="8" spans="1:7" ht="19.5" customHeight="1">
      <c r="A8" s="114">
        <v>4</v>
      </c>
      <c r="B8" s="145"/>
      <c r="C8" s="223"/>
      <c r="D8" s="358"/>
      <c r="E8" s="359" t="s">
        <v>477</v>
      </c>
      <c r="F8" s="356" t="s">
        <v>478</v>
      </c>
      <c r="G8" s="82">
        <v>39830</v>
      </c>
    </row>
    <row r="9" spans="1:7" ht="19.5" customHeight="1">
      <c r="A9" s="115">
        <v>5</v>
      </c>
      <c r="B9" s="145"/>
      <c r="C9" s="223"/>
      <c r="D9" s="360"/>
      <c r="E9" s="359" t="s">
        <v>479</v>
      </c>
      <c r="F9" s="356" t="s">
        <v>480</v>
      </c>
      <c r="G9" s="82">
        <v>39938</v>
      </c>
    </row>
    <row r="10" spans="1:7" ht="19.5" customHeight="1">
      <c r="A10" s="115">
        <v>6</v>
      </c>
      <c r="B10" s="145"/>
      <c r="C10" s="223"/>
      <c r="D10" s="360"/>
      <c r="E10" s="359" t="s">
        <v>481</v>
      </c>
      <c r="F10" s="356" t="s">
        <v>482</v>
      </c>
      <c r="G10" s="82">
        <v>39951</v>
      </c>
    </row>
    <row r="11" spans="1:7" ht="19.5" customHeight="1">
      <c r="A11" s="114">
        <v>7</v>
      </c>
      <c r="B11" s="145"/>
      <c r="C11" s="223"/>
      <c r="D11" s="360"/>
      <c r="E11" s="359" t="s">
        <v>885</v>
      </c>
      <c r="F11" s="356" t="s">
        <v>483</v>
      </c>
      <c r="G11" s="82">
        <v>39846</v>
      </c>
    </row>
    <row r="12" spans="1:7" ht="19.5" customHeight="1">
      <c r="A12" s="115">
        <v>8</v>
      </c>
      <c r="B12" s="145"/>
      <c r="C12" s="223"/>
      <c r="D12" s="361"/>
      <c r="E12" s="359" t="s">
        <v>484</v>
      </c>
      <c r="F12" s="356" t="s">
        <v>485</v>
      </c>
      <c r="G12" s="82">
        <v>39714</v>
      </c>
    </row>
    <row r="13" spans="1:7" ht="19.5" customHeight="1">
      <c r="A13" s="115">
        <v>9</v>
      </c>
      <c r="B13" s="145"/>
      <c r="C13" s="223"/>
      <c r="D13" s="360"/>
      <c r="E13" s="359" t="s">
        <v>486</v>
      </c>
      <c r="F13" s="356" t="s">
        <v>487</v>
      </c>
      <c r="G13" s="82">
        <v>39856</v>
      </c>
    </row>
    <row r="14" spans="1:7" ht="19.5" customHeight="1">
      <c r="A14" s="114">
        <v>10</v>
      </c>
      <c r="B14" s="145"/>
      <c r="C14" s="223"/>
      <c r="D14" s="360"/>
      <c r="E14" s="359" t="s">
        <v>488</v>
      </c>
      <c r="F14" s="356" t="s">
        <v>489</v>
      </c>
      <c r="G14" s="82">
        <v>39988</v>
      </c>
    </row>
    <row r="15" spans="1:7" ht="19.5" customHeight="1">
      <c r="A15" s="115">
        <v>11</v>
      </c>
      <c r="B15" s="145"/>
      <c r="C15" s="224"/>
      <c r="D15" s="362"/>
      <c r="E15" s="363" t="s">
        <v>491</v>
      </c>
      <c r="F15" s="364" t="s">
        <v>490</v>
      </c>
      <c r="G15" s="150">
        <v>39741</v>
      </c>
    </row>
    <row r="16" spans="1:7" ht="19.5" customHeight="1">
      <c r="A16" s="115">
        <v>12</v>
      </c>
      <c r="B16" s="145"/>
      <c r="C16" s="223"/>
      <c r="D16" s="360"/>
      <c r="E16" s="359" t="s">
        <v>492</v>
      </c>
      <c r="F16" s="356" t="s">
        <v>493</v>
      </c>
      <c r="G16" s="365">
        <v>39644</v>
      </c>
    </row>
    <row r="17" spans="1:7" ht="19.5" customHeight="1">
      <c r="A17" s="114">
        <v>13</v>
      </c>
      <c r="B17" s="145"/>
      <c r="C17" s="223"/>
      <c r="D17" s="360"/>
      <c r="E17" s="359" t="s">
        <v>494</v>
      </c>
      <c r="F17" s="356" t="s">
        <v>495</v>
      </c>
      <c r="G17" s="82">
        <v>39731</v>
      </c>
    </row>
    <row r="18" spans="1:7" ht="19.5" customHeight="1">
      <c r="A18" s="115">
        <v>14</v>
      </c>
      <c r="B18" s="145"/>
      <c r="C18" s="223"/>
      <c r="D18" s="361"/>
      <c r="E18" s="359" t="s">
        <v>496</v>
      </c>
      <c r="F18" s="356" t="s">
        <v>497</v>
      </c>
      <c r="G18" s="82">
        <v>39823</v>
      </c>
    </row>
    <row r="19" spans="1:7" ht="19.5" customHeight="1">
      <c r="A19" s="115">
        <v>15</v>
      </c>
      <c r="B19" s="145"/>
      <c r="C19" s="223"/>
      <c r="D19" s="361"/>
      <c r="E19" s="359" t="s">
        <v>498</v>
      </c>
      <c r="F19" s="356" t="s">
        <v>499</v>
      </c>
      <c r="G19" s="82">
        <v>39606</v>
      </c>
    </row>
    <row r="20" spans="1:7" ht="19.5" customHeight="1">
      <c r="A20" s="114">
        <v>16</v>
      </c>
      <c r="B20" s="145"/>
      <c r="C20" s="223"/>
      <c r="D20" s="360"/>
      <c r="E20" s="359" t="s">
        <v>500</v>
      </c>
      <c r="F20" s="356" t="s">
        <v>501</v>
      </c>
      <c r="G20" s="82">
        <v>39825</v>
      </c>
    </row>
    <row r="21" spans="1:7" ht="19.5" customHeight="1">
      <c r="A21" s="115">
        <v>17</v>
      </c>
      <c r="B21" s="145"/>
      <c r="C21" s="223"/>
      <c r="D21" s="360"/>
      <c r="E21" s="359" t="s">
        <v>502</v>
      </c>
      <c r="F21" s="356" t="s">
        <v>503</v>
      </c>
      <c r="G21" s="82">
        <v>39974</v>
      </c>
    </row>
    <row r="22" spans="1:7" ht="19.5" customHeight="1">
      <c r="A22" s="115">
        <v>18</v>
      </c>
      <c r="B22" s="145"/>
      <c r="C22" s="223"/>
      <c r="D22" s="360"/>
      <c r="E22" s="359" t="s">
        <v>505</v>
      </c>
      <c r="F22" s="356" t="s">
        <v>504</v>
      </c>
      <c r="G22" s="82">
        <v>39647</v>
      </c>
    </row>
    <row r="23" spans="1:7" ht="19.5" customHeight="1">
      <c r="A23" s="114">
        <v>19</v>
      </c>
      <c r="B23" s="145"/>
      <c r="C23" s="223"/>
      <c r="D23" s="360"/>
      <c r="E23" s="359" t="s">
        <v>506</v>
      </c>
      <c r="F23" s="356" t="s">
        <v>507</v>
      </c>
      <c r="G23" s="82">
        <v>39843</v>
      </c>
    </row>
    <row r="24" spans="1:7" ht="19.5" customHeight="1">
      <c r="A24" s="115">
        <v>20</v>
      </c>
      <c r="B24" s="145"/>
      <c r="C24" s="223"/>
      <c r="D24" s="361"/>
      <c r="E24" s="359" t="s">
        <v>508</v>
      </c>
      <c r="F24" s="356" t="s">
        <v>509</v>
      </c>
      <c r="G24" s="82">
        <v>39708</v>
      </c>
    </row>
    <row r="25" spans="1:7" ht="19.5" customHeight="1">
      <c r="A25" s="115">
        <v>21</v>
      </c>
      <c r="B25" s="145"/>
      <c r="C25" s="223"/>
      <c r="D25" s="360"/>
      <c r="E25" s="359" t="s">
        <v>872</v>
      </c>
      <c r="F25" s="356" t="s">
        <v>510</v>
      </c>
      <c r="G25" s="366">
        <v>39832</v>
      </c>
    </row>
    <row r="26" spans="1:7" ht="19.5" customHeight="1">
      <c r="A26" s="114">
        <v>22</v>
      </c>
      <c r="B26" s="145"/>
      <c r="C26" s="223"/>
      <c r="D26" s="360" t="s">
        <v>1353</v>
      </c>
      <c r="E26" s="552" t="s">
        <v>1455</v>
      </c>
      <c r="F26" s="553" t="s">
        <v>1456</v>
      </c>
      <c r="G26" s="518">
        <v>39588</v>
      </c>
    </row>
    <row r="27" spans="1:7" ht="19.5" customHeight="1">
      <c r="A27" s="115">
        <v>23</v>
      </c>
      <c r="B27" s="145"/>
      <c r="C27" s="223"/>
      <c r="D27" s="360"/>
      <c r="E27" s="359" t="s">
        <v>511</v>
      </c>
      <c r="F27" s="356" t="s">
        <v>512</v>
      </c>
      <c r="G27" s="82">
        <v>39812</v>
      </c>
    </row>
    <row r="28" spans="1:7" ht="19.5" customHeight="1">
      <c r="A28" s="115">
        <v>24</v>
      </c>
      <c r="B28" s="145"/>
      <c r="C28" s="223"/>
      <c r="D28" s="360"/>
      <c r="E28" s="367" t="s">
        <v>513</v>
      </c>
      <c r="F28" s="82" t="s">
        <v>514</v>
      </c>
      <c r="G28" s="82">
        <v>39854</v>
      </c>
    </row>
    <row r="29" spans="1:7" ht="19.5" customHeight="1">
      <c r="A29" s="114">
        <v>25</v>
      </c>
      <c r="B29" s="145"/>
      <c r="C29" s="223"/>
      <c r="D29" s="360"/>
      <c r="E29" s="359" t="s">
        <v>891</v>
      </c>
      <c r="F29" s="356" t="s">
        <v>515</v>
      </c>
      <c r="G29" s="82">
        <v>39883</v>
      </c>
    </row>
    <row r="30" spans="1:7" ht="19.5" customHeight="1">
      <c r="A30" s="115">
        <v>26</v>
      </c>
      <c r="B30" s="145"/>
      <c r="C30" s="223"/>
      <c r="D30" s="360"/>
      <c r="E30" s="359" t="s">
        <v>516</v>
      </c>
      <c r="F30" s="356" t="s">
        <v>517</v>
      </c>
      <c r="G30" s="82">
        <v>39892</v>
      </c>
    </row>
    <row r="31" spans="1:7" ht="19.5" customHeight="1">
      <c r="A31" s="115">
        <v>27</v>
      </c>
      <c r="B31" s="145"/>
      <c r="C31" s="223"/>
      <c r="D31" s="360"/>
      <c r="E31" s="359" t="s">
        <v>518</v>
      </c>
      <c r="F31" s="356" t="s">
        <v>519</v>
      </c>
      <c r="G31" s="82">
        <v>39726</v>
      </c>
    </row>
    <row r="32" spans="1:7" ht="19.5" customHeight="1">
      <c r="A32" s="114">
        <v>28</v>
      </c>
      <c r="B32" s="145"/>
      <c r="C32" s="223"/>
      <c r="D32" s="360"/>
      <c r="E32" s="359" t="s">
        <v>520</v>
      </c>
      <c r="F32" s="356" t="s">
        <v>521</v>
      </c>
      <c r="G32" s="82">
        <v>39724</v>
      </c>
    </row>
    <row r="33" spans="1:7" ht="19.5" customHeight="1">
      <c r="A33" s="115">
        <v>29</v>
      </c>
      <c r="B33" s="145"/>
      <c r="C33" s="223"/>
      <c r="D33" s="360"/>
      <c r="E33" s="359" t="s">
        <v>522</v>
      </c>
      <c r="F33" s="356" t="s">
        <v>523</v>
      </c>
      <c r="G33" s="82">
        <v>39544</v>
      </c>
    </row>
    <row r="34" spans="1:7" ht="19.5" customHeight="1">
      <c r="A34" s="115">
        <v>30</v>
      </c>
      <c r="B34" s="145"/>
      <c r="C34" s="223"/>
      <c r="D34" s="360"/>
      <c r="E34" s="359" t="s">
        <v>524</v>
      </c>
      <c r="F34" s="356" t="s">
        <v>525</v>
      </c>
      <c r="G34" s="82">
        <v>39706</v>
      </c>
    </row>
    <row r="35" spans="1:7" ht="19.5" customHeight="1">
      <c r="A35" s="114">
        <v>31</v>
      </c>
      <c r="B35" s="145"/>
      <c r="C35" s="223"/>
      <c r="D35" s="360"/>
      <c r="E35" s="359" t="s">
        <v>526</v>
      </c>
      <c r="F35" s="356" t="s">
        <v>527</v>
      </c>
      <c r="G35" s="82">
        <v>39948</v>
      </c>
    </row>
    <row r="36" spans="1:7" ht="19.5" customHeight="1">
      <c r="A36" s="115">
        <v>32</v>
      </c>
      <c r="B36" s="145"/>
      <c r="C36" s="223"/>
      <c r="D36" s="365"/>
      <c r="E36" s="359" t="s">
        <v>528</v>
      </c>
      <c r="F36" s="356" t="s">
        <v>529</v>
      </c>
      <c r="G36" s="82">
        <v>39260</v>
      </c>
    </row>
    <row r="37" spans="1:7" ht="19.5" customHeight="1">
      <c r="A37" s="115">
        <v>33</v>
      </c>
      <c r="B37" s="145"/>
      <c r="C37" s="223"/>
      <c r="D37" s="360"/>
      <c r="E37" s="359" t="s">
        <v>530</v>
      </c>
      <c r="F37" s="356" t="s">
        <v>531</v>
      </c>
      <c r="G37" s="82">
        <v>39693</v>
      </c>
    </row>
    <row r="38" spans="1:7" ht="19.5" customHeight="1">
      <c r="A38" s="114">
        <v>34</v>
      </c>
      <c r="B38" s="145"/>
      <c r="C38" s="223"/>
      <c r="D38" s="360"/>
      <c r="E38" s="359" t="s">
        <v>532</v>
      </c>
      <c r="F38" s="356" t="s">
        <v>533</v>
      </c>
      <c r="G38" s="82">
        <v>39815</v>
      </c>
    </row>
    <row r="39" spans="1:7" ht="19.5" customHeight="1">
      <c r="A39" s="115">
        <v>35</v>
      </c>
      <c r="B39" s="145"/>
      <c r="C39" s="223"/>
      <c r="D39" s="360"/>
      <c r="E39" s="359" t="s">
        <v>534</v>
      </c>
      <c r="F39" s="356" t="s">
        <v>535</v>
      </c>
      <c r="G39" s="82">
        <v>39759</v>
      </c>
    </row>
    <row r="40" spans="1:7" ht="19.5" customHeight="1">
      <c r="A40" s="115">
        <v>36</v>
      </c>
      <c r="B40" s="145"/>
      <c r="C40" s="223"/>
      <c r="D40" s="360"/>
      <c r="E40" s="359" t="s">
        <v>551</v>
      </c>
      <c r="F40" s="356" t="s">
        <v>552</v>
      </c>
      <c r="G40" s="82">
        <v>39588</v>
      </c>
    </row>
    <row r="41" spans="1:7" ht="19.5" customHeight="1">
      <c r="A41" s="114">
        <v>37</v>
      </c>
      <c r="B41" s="145"/>
      <c r="C41" s="223"/>
      <c r="D41" s="360"/>
      <c r="E41" s="359" t="s">
        <v>1329</v>
      </c>
      <c r="F41" s="356" t="s">
        <v>1330</v>
      </c>
      <c r="G41" s="82">
        <v>39707</v>
      </c>
    </row>
    <row r="42" spans="1:7" ht="19.5" customHeight="1">
      <c r="A42" s="115">
        <v>38</v>
      </c>
      <c r="B42" s="145"/>
      <c r="C42" s="223"/>
      <c r="D42" s="360"/>
      <c r="E42" s="359" t="s">
        <v>536</v>
      </c>
      <c r="F42" s="356" t="s">
        <v>537</v>
      </c>
      <c r="G42" s="82">
        <v>39850</v>
      </c>
    </row>
    <row r="43" spans="1:7" ht="19.5" customHeight="1">
      <c r="A43" s="115">
        <v>39</v>
      </c>
      <c r="B43" s="145"/>
      <c r="C43" s="223"/>
      <c r="D43" s="365"/>
      <c r="E43" s="359" t="s">
        <v>538</v>
      </c>
      <c r="F43" s="356" t="s">
        <v>539</v>
      </c>
      <c r="G43" s="82">
        <v>39563</v>
      </c>
    </row>
    <row r="44" spans="1:7" ht="19.5" customHeight="1">
      <c r="A44" s="114">
        <v>40</v>
      </c>
      <c r="B44" s="145"/>
      <c r="C44" s="223"/>
      <c r="D44" s="360"/>
      <c r="E44" s="359" t="s">
        <v>540</v>
      </c>
      <c r="F44" s="356" t="s">
        <v>541</v>
      </c>
      <c r="G44" s="82">
        <v>39770</v>
      </c>
    </row>
    <row r="45" spans="1:7" ht="19.5" customHeight="1">
      <c r="A45" s="115">
        <v>41</v>
      </c>
      <c r="B45" s="145"/>
      <c r="C45" s="223"/>
      <c r="D45" s="365"/>
      <c r="E45" s="359" t="s">
        <v>542</v>
      </c>
      <c r="F45" s="356" t="s">
        <v>543</v>
      </c>
      <c r="G45" s="82">
        <v>39797</v>
      </c>
    </row>
    <row r="46" spans="1:7" ht="19.5" customHeight="1">
      <c r="A46" s="115">
        <v>42</v>
      </c>
      <c r="B46" s="145"/>
      <c r="C46" s="223"/>
      <c r="D46" s="360"/>
      <c r="E46" s="359" t="s">
        <v>544</v>
      </c>
      <c r="F46" s="356" t="s">
        <v>545</v>
      </c>
      <c r="G46" s="82">
        <v>39909</v>
      </c>
    </row>
    <row r="47" spans="1:7" ht="19.5" customHeight="1">
      <c r="A47" s="114">
        <v>43</v>
      </c>
      <c r="B47" s="145"/>
      <c r="C47" s="223"/>
      <c r="D47" s="360"/>
      <c r="E47" s="359" t="s">
        <v>546</v>
      </c>
      <c r="F47" s="356" t="s">
        <v>547</v>
      </c>
      <c r="G47" s="82">
        <v>39864</v>
      </c>
    </row>
    <row r="48" spans="1:7" ht="19.5" customHeight="1">
      <c r="A48" s="117">
        <v>44</v>
      </c>
      <c r="B48" s="328"/>
      <c r="C48" s="225"/>
      <c r="D48" s="368"/>
      <c r="E48" s="369" t="s">
        <v>548</v>
      </c>
      <c r="F48" s="370" t="s">
        <v>549</v>
      </c>
      <c r="G48" s="371">
        <v>39737</v>
      </c>
    </row>
    <row r="49" spans="1:7" ht="19.5" customHeight="1" thickBot="1">
      <c r="A49" s="329">
        <v>45</v>
      </c>
      <c r="B49" s="330"/>
      <c r="C49" s="331"/>
      <c r="D49" s="92"/>
      <c r="E49" s="372" t="s">
        <v>892</v>
      </c>
      <c r="F49" s="373" t="s">
        <v>550</v>
      </c>
      <c r="G49" s="333">
        <v>39891</v>
      </c>
    </row>
    <row r="50" spans="1:7" ht="19.5" customHeight="1" thickBot="1">
      <c r="A50" s="110" t="s">
        <v>10</v>
      </c>
      <c r="B50" s="230"/>
      <c r="C50" s="111"/>
      <c r="D50" s="706" t="s">
        <v>902</v>
      </c>
      <c r="E50" s="675"/>
      <c r="F50" s="676" t="s">
        <v>11</v>
      </c>
      <c r="G50" s="677"/>
    </row>
    <row r="51" spans="1:7" ht="19.5" customHeight="1">
      <c r="A51" s="722"/>
      <c r="B51" s="679"/>
      <c r="C51" s="679"/>
      <c r="D51" s="679"/>
      <c r="E51" s="679"/>
      <c r="F51" s="679"/>
      <c r="G51" s="680"/>
    </row>
    <row r="52" spans="1:7" ht="19.5" customHeight="1" thickBot="1">
      <c r="A52" s="681"/>
      <c r="B52" s="682"/>
      <c r="C52" s="682"/>
      <c r="D52" s="682"/>
      <c r="E52" s="682"/>
      <c r="F52" s="682"/>
      <c r="G52" s="683"/>
    </row>
  </sheetData>
  <sortState xmlns:xlrd2="http://schemas.microsoft.com/office/spreadsheetml/2017/richdata2" ref="E5:G49">
    <sortCondition ref="E5:E49"/>
  </sortState>
  <mergeCells count="11">
    <mergeCell ref="A51:G52"/>
    <mergeCell ref="F3:F4"/>
    <mergeCell ref="A1:D1"/>
    <mergeCell ref="E1:G1"/>
    <mergeCell ref="A2:G2"/>
    <mergeCell ref="A3:A4"/>
    <mergeCell ref="B3:B4"/>
    <mergeCell ref="C3:D3"/>
    <mergeCell ref="G3:G4"/>
    <mergeCell ref="D50:E50"/>
    <mergeCell ref="F50:G50"/>
  </mergeCells>
  <phoneticPr fontId="16" type="noConversion"/>
  <conditionalFormatting sqref="E5:E41">
    <cfRule type="cellIs" dxfId="3" priority="1" stopIfTrue="1" operator="between">
      <formula>1</formula>
      <formula>3.9</formula>
    </cfRule>
  </conditionalFormatting>
  <conditionalFormatting sqref="E43:E47">
    <cfRule type="cellIs" dxfId="2" priority="2" stopIfTrue="1" operator="between">
      <formula>1</formula>
      <formula>3.9</formula>
    </cfRule>
  </conditionalFormatting>
  <pageMargins left="0.82" right="0.17" top="0.39370078740157483" bottom="0.39370078740157483" header="0" footer="0"/>
  <pageSetup paperSize="5" scale="76" fitToHeight="0" orientation="portrait" horizontalDpi="360" verticalDpi="36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52"/>
  <sheetViews>
    <sheetView showGridLines="0" topLeftCell="A23" zoomScaleNormal="100" workbookViewId="0">
      <selection activeCell="J10" sqref="J10"/>
    </sheetView>
  </sheetViews>
  <sheetFormatPr baseColWidth="10" defaultColWidth="12.5703125" defaultRowHeight="15" customHeight="1"/>
  <cols>
    <col min="1" max="2" width="5.7109375" customWidth="1"/>
    <col min="3" max="3" width="10.7109375" customWidth="1"/>
    <col min="4" max="4" width="14.28515625" customWidth="1"/>
    <col min="5" max="5" width="60.7109375" customWidth="1"/>
    <col min="6" max="7" width="14.7109375" customWidth="1"/>
    <col min="8" max="27" width="11.42578125" customWidth="1"/>
  </cols>
  <sheetData>
    <row r="1" spans="1:7" ht="72.75" customHeight="1" thickBot="1">
      <c r="A1" s="684"/>
      <c r="B1" s="685"/>
      <c r="C1" s="685"/>
      <c r="D1" s="685"/>
      <c r="E1" s="686" t="s">
        <v>0</v>
      </c>
      <c r="F1" s="685"/>
      <c r="G1" s="687"/>
    </row>
    <row r="2" spans="1:7" ht="19.5" customHeight="1" thickBot="1">
      <c r="A2" s="719" t="s">
        <v>1341</v>
      </c>
      <c r="B2" s="720"/>
      <c r="C2" s="720"/>
      <c r="D2" s="720"/>
      <c r="E2" s="720"/>
      <c r="F2" s="720"/>
      <c r="G2" s="721"/>
    </row>
    <row r="3" spans="1:7" ht="19.5" customHeight="1">
      <c r="A3" s="691" t="s">
        <v>2</v>
      </c>
      <c r="B3" s="691" t="s">
        <v>3</v>
      </c>
      <c r="C3" s="724" t="s">
        <v>4</v>
      </c>
      <c r="D3" s="714"/>
      <c r="E3" s="4" t="s">
        <v>1340</v>
      </c>
      <c r="F3" s="691" t="s">
        <v>5</v>
      </c>
      <c r="G3" s="691" t="s">
        <v>6</v>
      </c>
    </row>
    <row r="4" spans="1:7" ht="19.5" customHeight="1" thickBot="1">
      <c r="A4" s="712"/>
      <c r="B4" s="712"/>
      <c r="C4" s="5" t="s">
        <v>7</v>
      </c>
      <c r="D4" s="5" t="s">
        <v>8</v>
      </c>
      <c r="E4" s="281" t="s">
        <v>9</v>
      </c>
      <c r="F4" s="673"/>
      <c r="G4" s="673"/>
    </row>
    <row r="5" spans="1:7" ht="19.5" customHeight="1">
      <c r="A5" s="7">
        <v>1</v>
      </c>
      <c r="B5" s="24"/>
      <c r="C5" s="11"/>
      <c r="D5" s="235"/>
      <c r="E5" s="494" t="s">
        <v>553</v>
      </c>
      <c r="F5" s="499" t="s">
        <v>554</v>
      </c>
      <c r="G5" s="113">
        <v>39575</v>
      </c>
    </row>
    <row r="6" spans="1:7" ht="19.5" customHeight="1">
      <c r="A6" s="10">
        <v>2</v>
      </c>
      <c r="B6" s="24"/>
      <c r="C6" s="11"/>
      <c r="D6" s="235"/>
      <c r="E6" s="421" t="s">
        <v>895</v>
      </c>
      <c r="F6" s="500" t="s">
        <v>555</v>
      </c>
      <c r="G6" s="82">
        <v>39765</v>
      </c>
    </row>
    <row r="7" spans="1:7" ht="19.5" customHeight="1">
      <c r="A7" s="10">
        <v>3</v>
      </c>
      <c r="B7" s="24"/>
      <c r="C7" s="11"/>
      <c r="D7" s="235"/>
      <c r="E7" s="495" t="s">
        <v>1255</v>
      </c>
      <c r="F7" s="501" t="s">
        <v>1256</v>
      </c>
      <c r="G7" s="82">
        <v>39847</v>
      </c>
    </row>
    <row r="8" spans="1:7" ht="19.5" customHeight="1">
      <c r="A8" s="7">
        <v>4</v>
      </c>
      <c r="B8" s="24"/>
      <c r="C8" s="11"/>
      <c r="D8" s="375"/>
      <c r="E8" s="421" t="s">
        <v>556</v>
      </c>
      <c r="F8" s="500" t="s">
        <v>557</v>
      </c>
      <c r="G8" s="82">
        <v>39090</v>
      </c>
    </row>
    <row r="9" spans="1:7" ht="19.5" customHeight="1">
      <c r="A9" s="10">
        <v>5</v>
      </c>
      <c r="B9" s="24"/>
      <c r="C9" s="11"/>
      <c r="D9" s="235"/>
      <c r="E9" s="495" t="s">
        <v>1283</v>
      </c>
      <c r="F9" s="501" t="s">
        <v>1276</v>
      </c>
      <c r="G9" s="82">
        <v>38842</v>
      </c>
    </row>
    <row r="10" spans="1:7" ht="19.5" customHeight="1">
      <c r="A10" s="10">
        <v>6</v>
      </c>
      <c r="B10" s="24"/>
      <c r="C10" s="11"/>
      <c r="D10" s="235"/>
      <c r="E10" s="481" t="s">
        <v>560</v>
      </c>
      <c r="F10" s="482" t="s">
        <v>1321</v>
      </c>
      <c r="G10" s="275">
        <v>39788</v>
      </c>
    </row>
    <row r="11" spans="1:7" ht="19.5" customHeight="1">
      <c r="A11" s="7">
        <v>7</v>
      </c>
      <c r="B11" s="24"/>
      <c r="C11" s="11"/>
      <c r="D11" s="235"/>
      <c r="E11" s="421" t="s">
        <v>561</v>
      </c>
      <c r="F11" s="500" t="s">
        <v>562</v>
      </c>
      <c r="G11" s="82">
        <v>39377</v>
      </c>
    </row>
    <row r="12" spans="1:7" ht="19.5" customHeight="1">
      <c r="A12" s="10">
        <v>8</v>
      </c>
      <c r="B12" s="24"/>
      <c r="C12" s="11"/>
      <c r="D12" s="235" t="s">
        <v>1353</v>
      </c>
      <c r="E12" s="517" t="s">
        <v>1396</v>
      </c>
      <c r="F12" s="524" t="s">
        <v>1381</v>
      </c>
      <c r="G12" s="518">
        <v>39634</v>
      </c>
    </row>
    <row r="13" spans="1:7" ht="19.5" customHeight="1">
      <c r="A13" s="10">
        <v>9</v>
      </c>
      <c r="B13" s="24"/>
      <c r="C13" s="79"/>
      <c r="D13" s="115"/>
      <c r="E13" s="421" t="s">
        <v>563</v>
      </c>
      <c r="F13" s="500" t="s">
        <v>564</v>
      </c>
      <c r="G13" s="82">
        <v>39700</v>
      </c>
    </row>
    <row r="14" spans="1:7" ht="19.5" customHeight="1">
      <c r="A14" s="7">
        <v>10</v>
      </c>
      <c r="B14" s="24"/>
      <c r="C14" s="11"/>
      <c r="D14" s="235"/>
      <c r="E14" s="421" t="s">
        <v>565</v>
      </c>
      <c r="F14" s="500" t="s">
        <v>566</v>
      </c>
      <c r="G14" s="82">
        <v>39782</v>
      </c>
    </row>
    <row r="15" spans="1:7" ht="19.5" customHeight="1">
      <c r="A15" s="10">
        <v>11</v>
      </c>
      <c r="B15" s="24"/>
      <c r="C15" s="11"/>
      <c r="D15" s="235"/>
      <c r="E15" s="421" t="s">
        <v>567</v>
      </c>
      <c r="F15" s="500" t="s">
        <v>568</v>
      </c>
      <c r="G15" s="357">
        <v>39304</v>
      </c>
    </row>
    <row r="16" spans="1:7" ht="19.5" customHeight="1">
      <c r="A16" s="10">
        <v>12</v>
      </c>
      <c r="B16" s="24"/>
      <c r="C16" s="11"/>
      <c r="D16" s="235"/>
      <c r="E16" s="421" t="s">
        <v>569</v>
      </c>
      <c r="F16" s="500" t="s">
        <v>570</v>
      </c>
      <c r="G16" s="82">
        <v>39691</v>
      </c>
    </row>
    <row r="17" spans="1:10" ht="19.5" customHeight="1">
      <c r="A17" s="7">
        <v>13</v>
      </c>
      <c r="B17" s="24"/>
      <c r="C17" s="11"/>
      <c r="D17" s="235"/>
      <c r="E17" s="421" t="s">
        <v>571</v>
      </c>
      <c r="F17" s="500" t="s">
        <v>572</v>
      </c>
      <c r="G17" s="275">
        <v>39878</v>
      </c>
    </row>
    <row r="18" spans="1:10" ht="19.5" customHeight="1">
      <c r="A18" s="10">
        <v>14</v>
      </c>
      <c r="B18" s="24"/>
      <c r="C18" s="11"/>
      <c r="D18" s="235"/>
      <c r="E18" s="421" t="s">
        <v>573</v>
      </c>
      <c r="F18" s="500" t="s">
        <v>574</v>
      </c>
      <c r="G18" s="82">
        <v>39352</v>
      </c>
    </row>
    <row r="19" spans="1:10" ht="19.5" customHeight="1">
      <c r="A19" s="10">
        <v>15</v>
      </c>
      <c r="B19" s="24"/>
      <c r="C19" s="11"/>
      <c r="D19" s="235"/>
      <c r="E19" s="421" t="s">
        <v>882</v>
      </c>
      <c r="F19" s="500" t="s">
        <v>575</v>
      </c>
      <c r="G19" s="82">
        <v>39834</v>
      </c>
    </row>
    <row r="20" spans="1:10" ht="19.5" customHeight="1">
      <c r="A20" s="7">
        <v>16</v>
      </c>
      <c r="B20" s="24"/>
      <c r="C20" s="11"/>
      <c r="D20" s="341"/>
      <c r="E20" s="480" t="s">
        <v>896</v>
      </c>
      <c r="F20" s="265" t="s">
        <v>873</v>
      </c>
      <c r="G20" s="275" t="s">
        <v>874</v>
      </c>
    </row>
    <row r="21" spans="1:10" ht="19.5" customHeight="1">
      <c r="A21" s="10">
        <v>17</v>
      </c>
      <c r="B21" s="24"/>
      <c r="C21" s="11"/>
      <c r="D21" s="375"/>
      <c r="E21" s="495" t="s">
        <v>1258</v>
      </c>
      <c r="F21" s="501" t="s">
        <v>1257</v>
      </c>
      <c r="G21" s="82">
        <v>39329</v>
      </c>
    </row>
    <row r="22" spans="1:10" ht="19.5" customHeight="1">
      <c r="A22" s="10">
        <v>18</v>
      </c>
      <c r="B22" s="24"/>
      <c r="C22" s="11"/>
      <c r="D22" s="235"/>
      <c r="E22" s="421" t="s">
        <v>576</v>
      </c>
      <c r="F22" s="500" t="s">
        <v>577</v>
      </c>
      <c r="G22" s="82">
        <v>39903</v>
      </c>
    </row>
    <row r="23" spans="1:10" ht="19.5" customHeight="1">
      <c r="A23" s="7">
        <v>19</v>
      </c>
      <c r="B23" s="24"/>
      <c r="C23" s="11"/>
      <c r="D23" s="235"/>
      <c r="E23" s="421" t="s">
        <v>578</v>
      </c>
      <c r="F23" s="500" t="s">
        <v>579</v>
      </c>
      <c r="G23" s="82">
        <v>39933</v>
      </c>
    </row>
    <row r="24" spans="1:10" ht="19.5" customHeight="1">
      <c r="A24" s="10">
        <v>20</v>
      </c>
      <c r="B24" s="24"/>
      <c r="C24" s="11"/>
      <c r="D24" s="235"/>
      <c r="E24" s="421" t="s">
        <v>580</v>
      </c>
      <c r="F24" s="500" t="s">
        <v>581</v>
      </c>
      <c r="G24" s="82">
        <v>39640</v>
      </c>
    </row>
    <row r="25" spans="1:10" ht="19.5" customHeight="1">
      <c r="A25" s="10">
        <v>21</v>
      </c>
      <c r="B25" s="24"/>
      <c r="C25" s="11"/>
      <c r="D25" s="375"/>
      <c r="E25" s="421" t="s">
        <v>47</v>
      </c>
      <c r="F25" s="500" t="s">
        <v>14</v>
      </c>
      <c r="G25" s="82">
        <v>39232</v>
      </c>
    </row>
    <row r="26" spans="1:10" ht="19.5" customHeight="1">
      <c r="A26" s="7">
        <v>22</v>
      </c>
      <c r="B26" s="24"/>
      <c r="C26" s="11"/>
      <c r="D26" s="235"/>
      <c r="E26" s="421" t="s">
        <v>583</v>
      </c>
      <c r="F26" s="500" t="s">
        <v>584</v>
      </c>
      <c r="G26" s="82">
        <v>39730</v>
      </c>
    </row>
    <row r="27" spans="1:10" ht="19.5" customHeight="1">
      <c r="A27" s="10">
        <v>23</v>
      </c>
      <c r="B27" s="24"/>
      <c r="C27" s="11"/>
      <c r="D27" s="375" t="s">
        <v>1353</v>
      </c>
      <c r="E27" s="525" t="s">
        <v>1369</v>
      </c>
      <c r="F27" s="526" t="s">
        <v>1370</v>
      </c>
      <c r="G27" s="527">
        <v>39181</v>
      </c>
    </row>
    <row r="28" spans="1:10" ht="19.5" customHeight="1">
      <c r="A28" s="10">
        <v>24</v>
      </c>
      <c r="B28" s="24"/>
      <c r="C28" s="11"/>
      <c r="D28" s="415"/>
      <c r="E28" s="421" t="s">
        <v>1290</v>
      </c>
      <c r="F28" s="500" t="s">
        <v>585</v>
      </c>
      <c r="G28" s="82">
        <v>39879</v>
      </c>
    </row>
    <row r="29" spans="1:10" ht="19.5" customHeight="1">
      <c r="A29" s="7">
        <v>25</v>
      </c>
      <c r="B29" s="24"/>
      <c r="C29" s="11"/>
      <c r="D29" s="318"/>
      <c r="E29" s="421" t="s">
        <v>586</v>
      </c>
      <c r="F29" s="500" t="s">
        <v>587</v>
      </c>
      <c r="G29" s="82">
        <v>39522</v>
      </c>
      <c r="I29" t="s">
        <v>12</v>
      </c>
      <c r="J29" t="s">
        <v>12</v>
      </c>
    </row>
    <row r="30" spans="1:10" ht="19.5" customHeight="1">
      <c r="A30" s="10">
        <v>26</v>
      </c>
      <c r="B30" s="24"/>
      <c r="C30" s="11"/>
      <c r="D30" s="235"/>
      <c r="E30" s="421" t="s">
        <v>588</v>
      </c>
      <c r="F30" s="500" t="s">
        <v>589</v>
      </c>
      <c r="G30" s="82">
        <v>39733</v>
      </c>
      <c r="I30" t="s">
        <v>12</v>
      </c>
    </row>
    <row r="31" spans="1:10" ht="19.5" customHeight="1">
      <c r="A31" s="10">
        <v>27</v>
      </c>
      <c r="B31" s="24"/>
      <c r="C31" s="11"/>
      <c r="D31" s="416"/>
      <c r="E31" s="421" t="s">
        <v>15</v>
      </c>
      <c r="F31" s="500" t="s">
        <v>16</v>
      </c>
      <c r="G31" s="82">
        <v>39573</v>
      </c>
      <c r="I31" s="237"/>
    </row>
    <row r="32" spans="1:10" ht="19.5" customHeight="1">
      <c r="A32" s="7">
        <v>28</v>
      </c>
      <c r="B32" s="24"/>
      <c r="C32" s="11"/>
      <c r="D32" s="235"/>
      <c r="E32" s="421" t="s">
        <v>590</v>
      </c>
      <c r="F32" s="500" t="s">
        <v>591</v>
      </c>
      <c r="G32" s="82">
        <v>39927</v>
      </c>
    </row>
    <row r="33" spans="1:10" ht="19.5" customHeight="1">
      <c r="A33" s="10">
        <v>29</v>
      </c>
      <c r="B33" s="24"/>
      <c r="C33" s="11"/>
      <c r="D33" s="235"/>
      <c r="E33" s="421" t="s">
        <v>592</v>
      </c>
      <c r="F33" s="500" t="s">
        <v>593</v>
      </c>
      <c r="G33" s="82">
        <v>39646</v>
      </c>
    </row>
    <row r="34" spans="1:10" ht="19.5" customHeight="1">
      <c r="A34" s="10">
        <v>30</v>
      </c>
      <c r="B34" s="24"/>
      <c r="C34" s="79"/>
      <c r="D34" s="235"/>
      <c r="E34" s="421"/>
      <c r="F34" s="500"/>
      <c r="G34" s="82"/>
    </row>
    <row r="35" spans="1:10" ht="19.5" customHeight="1">
      <c r="A35" s="7">
        <v>31</v>
      </c>
      <c r="B35" s="24"/>
      <c r="C35" s="79"/>
      <c r="D35" s="235"/>
      <c r="E35" s="421"/>
      <c r="F35" s="500"/>
      <c r="G35" s="82"/>
      <c r="I35" t="s">
        <v>12</v>
      </c>
    </row>
    <row r="36" spans="1:10" ht="19.5" customHeight="1">
      <c r="A36" s="10">
        <v>32</v>
      </c>
      <c r="B36" s="24"/>
      <c r="C36" s="11"/>
      <c r="D36" s="375"/>
      <c r="E36" s="421"/>
      <c r="F36" s="500"/>
      <c r="G36" s="82"/>
    </row>
    <row r="37" spans="1:10" ht="19.5" customHeight="1">
      <c r="A37" s="10">
        <v>33</v>
      </c>
      <c r="B37" s="24"/>
      <c r="C37" s="11"/>
      <c r="D37" s="375"/>
      <c r="E37" s="421"/>
      <c r="F37" s="500"/>
      <c r="G37" s="82"/>
    </row>
    <row r="38" spans="1:10" ht="19.5" customHeight="1">
      <c r="A38" s="7">
        <v>34</v>
      </c>
      <c r="B38" s="24"/>
      <c r="C38" s="11"/>
      <c r="D38" s="375"/>
      <c r="E38" s="421"/>
      <c r="F38" s="500"/>
      <c r="G38" s="82"/>
    </row>
    <row r="39" spans="1:10" ht="19.5" customHeight="1">
      <c r="A39" s="10">
        <v>35</v>
      </c>
      <c r="B39" s="24"/>
      <c r="C39" s="11"/>
      <c r="D39" s="235"/>
      <c r="E39" s="421"/>
      <c r="F39" s="500"/>
      <c r="G39" s="82"/>
    </row>
    <row r="40" spans="1:10" ht="19.5" customHeight="1">
      <c r="A40" s="10">
        <v>36</v>
      </c>
      <c r="B40" s="24"/>
      <c r="C40" s="11"/>
      <c r="D40" s="235"/>
      <c r="E40" s="495"/>
      <c r="F40" s="501"/>
      <c r="G40" s="82"/>
    </row>
    <row r="41" spans="1:10" ht="19.5" customHeight="1">
      <c r="A41" s="7">
        <v>37</v>
      </c>
      <c r="B41" s="24"/>
      <c r="C41" s="11"/>
      <c r="D41" s="235"/>
      <c r="E41" s="421"/>
      <c r="F41" s="500"/>
      <c r="G41" s="82"/>
    </row>
    <row r="42" spans="1:10" ht="19.5" customHeight="1">
      <c r="A42" s="10">
        <v>38</v>
      </c>
      <c r="B42" s="127"/>
      <c r="C42" s="83"/>
      <c r="D42" s="132"/>
      <c r="E42" s="496"/>
      <c r="F42" s="502"/>
      <c r="G42" s="118"/>
      <c r="J42" t="s">
        <v>12</v>
      </c>
    </row>
    <row r="43" spans="1:10" ht="19.5" customHeight="1">
      <c r="A43" s="10">
        <v>39</v>
      </c>
      <c r="B43" s="128"/>
      <c r="C43" s="133"/>
      <c r="D43" s="393"/>
      <c r="E43" s="311"/>
      <c r="F43" s="312"/>
      <c r="G43" s="96"/>
    </row>
    <row r="44" spans="1:10" ht="19.5" customHeight="1">
      <c r="A44" s="7">
        <v>40</v>
      </c>
      <c r="B44" s="128"/>
      <c r="C44" s="133"/>
      <c r="D44" s="393"/>
      <c r="E44" s="311"/>
      <c r="F44" s="312"/>
      <c r="G44" s="96"/>
    </row>
    <row r="45" spans="1:10" ht="19.5" customHeight="1">
      <c r="A45" s="10">
        <v>41</v>
      </c>
      <c r="B45" s="128"/>
      <c r="C45" s="133"/>
      <c r="D45" s="393"/>
      <c r="E45" s="311"/>
      <c r="F45" s="312"/>
      <c r="G45" s="96"/>
      <c r="J45" t="s">
        <v>13</v>
      </c>
    </row>
    <row r="46" spans="1:10" ht="19.5" customHeight="1">
      <c r="A46" s="10">
        <v>42</v>
      </c>
      <c r="B46" s="134"/>
      <c r="C46" s="135"/>
      <c r="D46" s="492"/>
      <c r="E46" s="497"/>
      <c r="F46" s="503"/>
      <c r="G46" s="138"/>
    </row>
    <row r="47" spans="1:10" ht="19.5" customHeight="1">
      <c r="A47" s="7">
        <v>43</v>
      </c>
      <c r="B47" s="35"/>
      <c r="C47" s="36"/>
      <c r="D47" s="493"/>
      <c r="E47" s="498"/>
      <c r="F47" s="504"/>
      <c r="G47" s="139"/>
    </row>
    <row r="48" spans="1:10" ht="19.5" customHeight="1">
      <c r="A48" s="303">
        <v>44</v>
      </c>
      <c r="B48" s="320"/>
      <c r="C48" s="321"/>
      <c r="D48" s="419"/>
      <c r="E48" s="424"/>
      <c r="F48" s="505"/>
      <c r="G48" s="322"/>
    </row>
    <row r="49" spans="1:7" ht="19.5" customHeight="1" thickBot="1">
      <c r="A49" s="319">
        <v>45</v>
      </c>
      <c r="B49" s="231"/>
      <c r="C49" s="232"/>
      <c r="D49" s="326"/>
      <c r="E49" s="425"/>
      <c r="F49" s="265"/>
      <c r="G49" s="315"/>
    </row>
    <row r="50" spans="1:7" ht="19.5" customHeight="1" thickBot="1">
      <c r="A50" s="110" t="s">
        <v>10</v>
      </c>
      <c r="B50" s="233"/>
      <c r="C50" s="111"/>
      <c r="D50" s="706" t="s">
        <v>903</v>
      </c>
      <c r="E50" s="675"/>
      <c r="F50" s="676" t="s">
        <v>11</v>
      </c>
      <c r="G50" s="677"/>
    </row>
    <row r="51" spans="1:7" ht="19.5" customHeight="1">
      <c r="A51" s="718"/>
      <c r="B51" s="679"/>
      <c r="C51" s="679"/>
      <c r="D51" s="679"/>
      <c r="E51" s="679"/>
      <c r="F51" s="679"/>
      <c r="G51" s="680"/>
    </row>
    <row r="52" spans="1:7" ht="19.5" customHeight="1" thickBot="1">
      <c r="A52" s="681"/>
      <c r="B52" s="682"/>
      <c r="C52" s="682"/>
      <c r="D52" s="682"/>
      <c r="E52" s="682"/>
      <c r="F52" s="682"/>
      <c r="G52" s="683"/>
    </row>
  </sheetData>
  <sortState xmlns:xlrd2="http://schemas.microsoft.com/office/spreadsheetml/2017/richdata2" ref="E6:G33">
    <sortCondition ref="E5:E33"/>
  </sortState>
  <mergeCells count="11">
    <mergeCell ref="F3:F4"/>
    <mergeCell ref="D50:E50"/>
    <mergeCell ref="F50:G50"/>
    <mergeCell ref="A51:G52"/>
    <mergeCell ref="A1:D1"/>
    <mergeCell ref="E1:G1"/>
    <mergeCell ref="A2:G2"/>
    <mergeCell ref="A3:A4"/>
    <mergeCell ref="B3:B4"/>
    <mergeCell ref="C3:D3"/>
    <mergeCell ref="G3:G4"/>
  </mergeCells>
  <phoneticPr fontId="16" type="noConversion"/>
  <conditionalFormatting sqref="E5:E9 E11:E19 E21:E26 E28:E49">
    <cfRule type="cellIs" dxfId="1" priority="1" stopIfTrue="1" operator="between">
      <formula>1</formula>
      <formula>3.9</formula>
    </cfRule>
  </conditionalFormatting>
  <pageMargins left="0.82" right="0.17" top="0.39370078740157483" bottom="0.39370078740157483" header="0" footer="0"/>
  <pageSetup scale="70" orientation="portrait" horizontalDpi="360" verticalDpi="36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52"/>
  <sheetViews>
    <sheetView showGridLines="0" topLeftCell="A35" zoomScaleNormal="100" workbookViewId="0">
      <selection activeCell="I27" sqref="I27"/>
    </sheetView>
  </sheetViews>
  <sheetFormatPr baseColWidth="10" defaultColWidth="12.5703125" defaultRowHeight="15" customHeight="1"/>
  <cols>
    <col min="1" max="2" width="5.7109375" customWidth="1"/>
    <col min="3" max="3" width="10.7109375" customWidth="1"/>
    <col min="4" max="4" width="14.28515625" customWidth="1"/>
    <col min="5" max="5" width="65.85546875" customWidth="1"/>
    <col min="6" max="7" width="14.7109375" customWidth="1"/>
    <col min="8" max="27" width="11.42578125" customWidth="1"/>
  </cols>
  <sheetData>
    <row r="1" spans="1:7" ht="72.75" customHeight="1" thickBot="1">
      <c r="A1" s="684"/>
      <c r="B1" s="685"/>
      <c r="C1" s="685"/>
      <c r="D1" s="685"/>
      <c r="E1" s="686" t="s">
        <v>0</v>
      </c>
      <c r="F1" s="685"/>
      <c r="G1" s="687"/>
    </row>
    <row r="2" spans="1:7" ht="19.5" customHeight="1" thickBot="1">
      <c r="A2" s="719" t="s">
        <v>1339</v>
      </c>
      <c r="B2" s="720"/>
      <c r="C2" s="720"/>
      <c r="D2" s="720"/>
      <c r="E2" s="720"/>
      <c r="F2" s="720"/>
      <c r="G2" s="721"/>
    </row>
    <row r="3" spans="1:7" ht="19.5" customHeight="1">
      <c r="A3" s="691" t="s">
        <v>2</v>
      </c>
      <c r="B3" s="691" t="s">
        <v>3</v>
      </c>
      <c r="C3" s="724" t="s">
        <v>4</v>
      </c>
      <c r="D3" s="714"/>
      <c r="E3" s="4" t="s">
        <v>1338</v>
      </c>
      <c r="F3" s="691" t="s">
        <v>5</v>
      </c>
      <c r="G3" s="691" t="s">
        <v>6</v>
      </c>
    </row>
    <row r="4" spans="1:7" ht="19.5" customHeight="1" thickBot="1">
      <c r="A4" s="712"/>
      <c r="B4" s="712"/>
      <c r="C4" s="5" t="s">
        <v>7</v>
      </c>
      <c r="D4" s="5" t="s">
        <v>8</v>
      </c>
      <c r="E4" s="5" t="s">
        <v>9</v>
      </c>
      <c r="F4" s="712"/>
      <c r="G4" s="712"/>
    </row>
    <row r="5" spans="1:7" ht="19.5" customHeight="1">
      <c r="A5" s="7">
        <v>1</v>
      </c>
      <c r="B5" s="24"/>
      <c r="C5" s="11"/>
      <c r="D5" s="235"/>
      <c r="E5" s="34" t="s">
        <v>1306</v>
      </c>
      <c r="F5" s="337" t="s">
        <v>594</v>
      </c>
      <c r="G5" s="21">
        <v>39788</v>
      </c>
    </row>
    <row r="6" spans="1:7" ht="19.5" customHeight="1">
      <c r="A6" s="10">
        <v>2</v>
      </c>
      <c r="B6" s="24"/>
      <c r="C6" s="11"/>
      <c r="D6" s="341"/>
      <c r="E6" s="34" t="s">
        <v>595</v>
      </c>
      <c r="F6" s="337" t="s">
        <v>596</v>
      </c>
      <c r="G6" s="21">
        <v>39602</v>
      </c>
    </row>
    <row r="7" spans="1:7" ht="19.5" customHeight="1">
      <c r="A7" s="10">
        <v>3</v>
      </c>
      <c r="B7" s="24"/>
      <c r="C7" s="11"/>
      <c r="D7" s="235"/>
      <c r="E7" s="34" t="s">
        <v>597</v>
      </c>
      <c r="F7" s="337" t="s">
        <v>598</v>
      </c>
      <c r="G7" s="81">
        <v>39787</v>
      </c>
    </row>
    <row r="8" spans="1:7" ht="19.5" customHeight="1">
      <c r="A8" s="7">
        <v>4</v>
      </c>
      <c r="B8" s="24"/>
      <c r="C8" s="11"/>
      <c r="D8" s="235"/>
      <c r="E8" s="34" t="s">
        <v>599</v>
      </c>
      <c r="F8" s="337" t="s">
        <v>600</v>
      </c>
      <c r="G8" s="21">
        <v>39651</v>
      </c>
    </row>
    <row r="9" spans="1:7" ht="19.5" customHeight="1">
      <c r="A9" s="10">
        <v>5</v>
      </c>
      <c r="B9" s="24"/>
      <c r="C9" s="11"/>
      <c r="D9" s="342"/>
      <c r="E9" s="34" t="s">
        <v>601</v>
      </c>
      <c r="F9" s="337" t="s">
        <v>602</v>
      </c>
      <c r="G9" s="21">
        <v>39622</v>
      </c>
    </row>
    <row r="10" spans="1:7" ht="19.5" customHeight="1">
      <c r="A10" s="10">
        <v>6</v>
      </c>
      <c r="B10" s="24"/>
      <c r="C10" s="11"/>
      <c r="D10" s="343"/>
      <c r="E10" s="34" t="s">
        <v>603</v>
      </c>
      <c r="F10" s="337" t="s">
        <v>604</v>
      </c>
      <c r="G10" s="21">
        <v>39782</v>
      </c>
    </row>
    <row r="11" spans="1:7" ht="19.5" customHeight="1">
      <c r="A11" s="7">
        <v>7</v>
      </c>
      <c r="B11" s="24"/>
      <c r="C11" s="11"/>
      <c r="D11" s="342"/>
      <c r="E11" s="34" t="s">
        <v>605</v>
      </c>
      <c r="F11" s="337" t="s">
        <v>606</v>
      </c>
      <c r="G11" s="21">
        <v>39837</v>
      </c>
    </row>
    <row r="12" spans="1:7" ht="19.5" customHeight="1">
      <c r="A12" s="10">
        <v>8</v>
      </c>
      <c r="B12" s="24"/>
      <c r="C12" s="11"/>
      <c r="D12" s="344"/>
      <c r="E12" s="34" t="s">
        <v>607</v>
      </c>
      <c r="F12" s="337" t="s">
        <v>608</v>
      </c>
      <c r="G12" s="21">
        <v>39787</v>
      </c>
    </row>
    <row r="13" spans="1:7" ht="19.5" customHeight="1">
      <c r="A13" s="10">
        <v>9</v>
      </c>
      <c r="B13" s="24"/>
      <c r="C13" s="11"/>
      <c r="D13" s="342"/>
      <c r="E13" s="34" t="s">
        <v>609</v>
      </c>
      <c r="F13" s="337" t="s">
        <v>610</v>
      </c>
      <c r="G13" s="21">
        <v>39561</v>
      </c>
    </row>
    <row r="14" spans="1:7" ht="19.5" customHeight="1">
      <c r="A14" s="7">
        <v>10</v>
      </c>
      <c r="B14" s="24"/>
      <c r="C14" s="11"/>
      <c r="D14" s="342"/>
      <c r="E14" s="34" t="s">
        <v>878</v>
      </c>
      <c r="F14" s="337" t="s">
        <v>879</v>
      </c>
      <c r="G14" s="345" t="s">
        <v>48</v>
      </c>
    </row>
    <row r="15" spans="1:7" ht="19.5" customHeight="1">
      <c r="A15" s="10">
        <v>11</v>
      </c>
      <c r="B15" s="24"/>
      <c r="C15" s="11"/>
      <c r="D15" s="342"/>
      <c r="E15" s="34" t="s">
        <v>1305</v>
      </c>
      <c r="F15" s="337" t="s">
        <v>611</v>
      </c>
      <c r="G15" s="21">
        <v>39604</v>
      </c>
    </row>
    <row r="16" spans="1:7" ht="19.5" customHeight="1">
      <c r="A16" s="10">
        <v>12</v>
      </c>
      <c r="B16" s="24"/>
      <c r="C16" s="11"/>
      <c r="D16" s="342"/>
      <c r="E16" s="34" t="s">
        <v>612</v>
      </c>
      <c r="F16" s="337" t="s">
        <v>613</v>
      </c>
      <c r="G16" s="21">
        <v>39800</v>
      </c>
    </row>
    <row r="17" spans="1:11" ht="19.5" customHeight="1">
      <c r="A17" s="7">
        <v>13</v>
      </c>
      <c r="B17" s="24"/>
      <c r="C17" s="11"/>
      <c r="D17" s="342"/>
      <c r="E17" s="34" t="s">
        <v>614</v>
      </c>
      <c r="F17" s="337" t="s">
        <v>615</v>
      </c>
      <c r="G17" s="21">
        <v>39913</v>
      </c>
      <c r="K17" t="s">
        <v>12</v>
      </c>
    </row>
    <row r="18" spans="1:11" ht="19.5" customHeight="1">
      <c r="A18" s="10">
        <v>14</v>
      </c>
      <c r="B18" s="24"/>
      <c r="C18" s="11"/>
      <c r="D18" s="342"/>
      <c r="E18" s="34" t="s">
        <v>616</v>
      </c>
      <c r="F18" s="337" t="s">
        <v>617</v>
      </c>
      <c r="G18" s="21">
        <v>39224</v>
      </c>
    </row>
    <row r="19" spans="1:11" ht="19.5" customHeight="1">
      <c r="A19" s="10">
        <v>15</v>
      </c>
      <c r="B19" s="24"/>
      <c r="C19" s="11"/>
      <c r="D19" s="342"/>
      <c r="E19" s="34" t="s">
        <v>618</v>
      </c>
      <c r="F19" s="337" t="s">
        <v>619</v>
      </c>
      <c r="G19" s="21">
        <v>39673</v>
      </c>
    </row>
    <row r="20" spans="1:11" ht="19.5" customHeight="1">
      <c r="A20" s="7">
        <v>16</v>
      </c>
      <c r="B20" s="24"/>
      <c r="C20" s="11"/>
      <c r="D20" s="342"/>
      <c r="E20" s="34" t="s">
        <v>622</v>
      </c>
      <c r="F20" s="337" t="s">
        <v>623</v>
      </c>
      <c r="G20" s="21">
        <v>39829</v>
      </c>
    </row>
    <row r="21" spans="1:11" ht="19.5" customHeight="1">
      <c r="A21" s="10">
        <v>17</v>
      </c>
      <c r="B21" s="24"/>
      <c r="C21" s="11"/>
      <c r="D21" s="342"/>
      <c r="E21" s="34" t="s">
        <v>624</v>
      </c>
      <c r="F21" s="337" t="s">
        <v>625</v>
      </c>
      <c r="G21" s="21">
        <v>39953</v>
      </c>
    </row>
    <row r="22" spans="1:11" ht="19.5" customHeight="1">
      <c r="A22" s="10">
        <v>18</v>
      </c>
      <c r="B22" s="24"/>
      <c r="C22" s="11"/>
      <c r="D22" s="15"/>
      <c r="E22" s="336" t="s">
        <v>626</v>
      </c>
      <c r="F22" s="337" t="s">
        <v>627</v>
      </c>
      <c r="G22" s="338">
        <v>39953</v>
      </c>
    </row>
    <row r="23" spans="1:11" ht="19.5" customHeight="1">
      <c r="A23" s="7">
        <v>19</v>
      </c>
      <c r="B23" s="24"/>
      <c r="C23" s="11"/>
      <c r="D23" s="15"/>
      <c r="E23" s="336" t="s">
        <v>628</v>
      </c>
      <c r="F23" s="337" t="s">
        <v>629</v>
      </c>
      <c r="G23" s="338">
        <v>39922</v>
      </c>
    </row>
    <row r="24" spans="1:11" ht="19.5" customHeight="1">
      <c r="A24" s="10">
        <v>20</v>
      </c>
      <c r="B24" s="24"/>
      <c r="C24" s="11"/>
      <c r="D24" s="15"/>
      <c r="E24" s="336" t="s">
        <v>630</v>
      </c>
      <c r="F24" s="337" t="s">
        <v>631</v>
      </c>
      <c r="G24" s="338">
        <v>39443</v>
      </c>
    </row>
    <row r="25" spans="1:11" ht="19.5" customHeight="1">
      <c r="A25" s="10">
        <v>21</v>
      </c>
      <c r="B25" s="24"/>
      <c r="C25" s="11"/>
      <c r="D25" s="339"/>
      <c r="E25" s="336" t="s">
        <v>875</v>
      </c>
      <c r="F25" s="337" t="s">
        <v>632</v>
      </c>
      <c r="G25" s="338">
        <v>39723</v>
      </c>
    </row>
    <row r="26" spans="1:11" ht="19.5" customHeight="1">
      <c r="A26" s="7">
        <v>22</v>
      </c>
      <c r="B26" s="24"/>
      <c r="C26" s="11"/>
      <c r="D26" s="339"/>
      <c r="E26" s="336" t="s">
        <v>633</v>
      </c>
      <c r="F26" s="337" t="s">
        <v>634</v>
      </c>
      <c r="G26" s="338">
        <v>39825</v>
      </c>
      <c r="I26" t="s">
        <v>12</v>
      </c>
    </row>
    <row r="27" spans="1:11" ht="19.5" customHeight="1">
      <c r="A27" s="10">
        <v>23</v>
      </c>
      <c r="B27" s="24"/>
      <c r="C27" s="11"/>
      <c r="D27" s="15"/>
      <c r="E27" s="336" t="s">
        <v>635</v>
      </c>
      <c r="F27" s="337" t="s">
        <v>636</v>
      </c>
      <c r="G27" s="338">
        <v>39076</v>
      </c>
    </row>
    <row r="28" spans="1:11" ht="19.5" customHeight="1">
      <c r="A28" s="10">
        <v>24</v>
      </c>
      <c r="B28" s="24"/>
      <c r="C28" s="11"/>
      <c r="D28" s="15"/>
      <c r="E28" s="336" t="s">
        <v>637</v>
      </c>
      <c r="F28" s="337" t="s">
        <v>638</v>
      </c>
      <c r="G28" s="340">
        <v>39831</v>
      </c>
    </row>
    <row r="29" spans="1:11" ht="19.5" customHeight="1">
      <c r="A29" s="7">
        <v>25</v>
      </c>
      <c r="B29" s="24"/>
      <c r="C29" s="11"/>
      <c r="D29" s="15"/>
      <c r="E29" s="336" t="s">
        <v>639</v>
      </c>
      <c r="F29" s="337" t="s">
        <v>640</v>
      </c>
      <c r="G29" s="338">
        <v>39765</v>
      </c>
    </row>
    <row r="30" spans="1:11" ht="19.5" customHeight="1">
      <c r="A30" s="10">
        <v>26</v>
      </c>
      <c r="B30" s="24"/>
      <c r="C30" s="11"/>
      <c r="D30" s="15"/>
      <c r="E30" s="336" t="s">
        <v>641</v>
      </c>
      <c r="F30" s="337" t="s">
        <v>642</v>
      </c>
      <c r="G30" s="340">
        <v>39547</v>
      </c>
    </row>
    <row r="31" spans="1:11" ht="19.5" customHeight="1">
      <c r="A31" s="10">
        <v>27</v>
      </c>
      <c r="B31" s="24"/>
      <c r="C31" s="11"/>
      <c r="D31" s="15"/>
      <c r="E31" s="336" t="s">
        <v>643</v>
      </c>
      <c r="F31" s="337" t="s">
        <v>644</v>
      </c>
      <c r="G31" s="338">
        <v>39664</v>
      </c>
    </row>
    <row r="32" spans="1:11" ht="19.5" customHeight="1">
      <c r="A32" s="7">
        <v>28</v>
      </c>
      <c r="B32" s="24"/>
      <c r="C32" s="11"/>
      <c r="D32" s="346"/>
      <c r="E32" s="336" t="s">
        <v>645</v>
      </c>
      <c r="F32" s="337" t="s">
        <v>646</v>
      </c>
      <c r="G32" s="338">
        <v>39718</v>
      </c>
    </row>
    <row r="33" spans="1:9" ht="19.5" customHeight="1">
      <c r="A33" s="10">
        <v>29</v>
      </c>
      <c r="B33" s="24"/>
      <c r="C33" s="11"/>
      <c r="D33" s="15"/>
      <c r="E33" s="336" t="s">
        <v>647</v>
      </c>
      <c r="F33" s="337" t="s">
        <v>648</v>
      </c>
      <c r="G33" s="338">
        <v>39890</v>
      </c>
    </row>
    <row r="34" spans="1:9" ht="19.5" customHeight="1">
      <c r="A34" s="10">
        <v>30</v>
      </c>
      <c r="B34" s="24"/>
      <c r="C34" s="11"/>
      <c r="D34" s="342"/>
      <c r="E34" s="34" t="s">
        <v>649</v>
      </c>
      <c r="F34" s="337" t="s">
        <v>650</v>
      </c>
      <c r="G34" s="21">
        <v>39692</v>
      </c>
    </row>
    <row r="35" spans="1:9" ht="19.5" customHeight="1">
      <c r="A35" s="7">
        <v>31</v>
      </c>
      <c r="B35" s="24"/>
      <c r="C35" s="11"/>
      <c r="D35" s="342"/>
      <c r="E35" s="34" t="s">
        <v>651</v>
      </c>
      <c r="F35" s="337" t="s">
        <v>652</v>
      </c>
      <c r="G35" s="21">
        <v>39379</v>
      </c>
    </row>
    <row r="36" spans="1:9" ht="19.5" customHeight="1">
      <c r="A36" s="10">
        <v>32</v>
      </c>
      <c r="B36" s="24"/>
      <c r="C36" s="11"/>
      <c r="D36" s="342"/>
      <c r="E36" s="34" t="s">
        <v>653</v>
      </c>
      <c r="F36" s="337" t="s">
        <v>654</v>
      </c>
      <c r="G36" s="21">
        <v>39684</v>
      </c>
    </row>
    <row r="37" spans="1:9" ht="19.5" customHeight="1">
      <c r="A37" s="10">
        <v>33</v>
      </c>
      <c r="B37" s="24"/>
      <c r="C37" s="11"/>
      <c r="D37" s="342"/>
      <c r="E37" s="34" t="s">
        <v>655</v>
      </c>
      <c r="F37" s="337" t="s">
        <v>656</v>
      </c>
      <c r="G37" s="21">
        <v>39804</v>
      </c>
    </row>
    <row r="38" spans="1:9" ht="19.5" customHeight="1">
      <c r="A38" s="7">
        <v>34</v>
      </c>
      <c r="B38" s="24"/>
      <c r="C38" s="11"/>
      <c r="D38" s="342"/>
      <c r="E38" s="34" t="s">
        <v>657</v>
      </c>
      <c r="F38" s="337" t="s">
        <v>658</v>
      </c>
      <c r="G38" s="21">
        <v>39675</v>
      </c>
    </row>
    <row r="39" spans="1:9" ht="19.5" customHeight="1">
      <c r="A39" s="10">
        <v>35</v>
      </c>
      <c r="B39" s="24"/>
      <c r="C39" s="11"/>
      <c r="D39" s="342"/>
      <c r="E39" s="34" t="s">
        <v>1259</v>
      </c>
      <c r="F39" s="337" t="s">
        <v>659</v>
      </c>
      <c r="G39" s="21">
        <v>39899</v>
      </c>
    </row>
    <row r="40" spans="1:9" ht="19.5" customHeight="1">
      <c r="A40" s="10">
        <v>36</v>
      </c>
      <c r="B40" s="24"/>
      <c r="C40" s="11"/>
      <c r="D40" s="342"/>
      <c r="E40" s="34" t="s">
        <v>660</v>
      </c>
      <c r="F40" s="337" t="s">
        <v>661</v>
      </c>
      <c r="G40" s="81">
        <v>39897</v>
      </c>
    </row>
    <row r="41" spans="1:9" ht="19.5" customHeight="1">
      <c r="A41" s="7">
        <v>37</v>
      </c>
      <c r="B41" s="24"/>
      <c r="C41" s="11"/>
      <c r="D41" s="342"/>
      <c r="E41" s="34" t="s">
        <v>662</v>
      </c>
      <c r="F41" s="337" t="s">
        <v>663</v>
      </c>
      <c r="G41" s="21">
        <v>39871</v>
      </c>
    </row>
    <row r="42" spans="1:9" ht="19.5" customHeight="1">
      <c r="A42" s="10">
        <v>38</v>
      </c>
      <c r="B42" s="24"/>
      <c r="C42" s="11"/>
      <c r="D42" s="342"/>
      <c r="E42" s="34" t="s">
        <v>664</v>
      </c>
      <c r="F42" s="337" t="s">
        <v>665</v>
      </c>
      <c r="G42" s="21">
        <v>39841</v>
      </c>
    </row>
    <row r="43" spans="1:9" ht="19.5" customHeight="1">
      <c r="A43" s="10">
        <v>39</v>
      </c>
      <c r="B43" s="24"/>
      <c r="C43" s="11"/>
      <c r="D43" s="342"/>
      <c r="E43" s="34" t="s">
        <v>876</v>
      </c>
      <c r="F43" s="337" t="s">
        <v>877</v>
      </c>
      <c r="G43" s="81">
        <v>39640</v>
      </c>
    </row>
    <row r="44" spans="1:9" ht="19.5" customHeight="1">
      <c r="A44" s="7">
        <v>40</v>
      </c>
      <c r="B44" s="24"/>
      <c r="C44" s="11"/>
      <c r="D44" s="342"/>
      <c r="E44" s="34" t="s">
        <v>1295</v>
      </c>
      <c r="F44" s="337" t="s">
        <v>1296</v>
      </c>
      <c r="G44" s="21">
        <v>39785</v>
      </c>
    </row>
    <row r="45" spans="1:9" ht="19.5" customHeight="1">
      <c r="A45" s="10">
        <v>41</v>
      </c>
      <c r="B45" s="24"/>
      <c r="C45" s="11"/>
      <c r="D45" s="342"/>
      <c r="E45" s="34"/>
      <c r="F45" s="337"/>
      <c r="G45" s="21"/>
      <c r="I45" t="s">
        <v>12</v>
      </c>
    </row>
    <row r="46" spans="1:9" ht="19.5" customHeight="1">
      <c r="A46" s="10">
        <v>42</v>
      </c>
      <c r="B46" s="24"/>
      <c r="C46" s="143"/>
      <c r="D46" s="84"/>
      <c r="E46" s="347"/>
      <c r="F46" s="348"/>
      <c r="G46" s="349"/>
    </row>
    <row r="47" spans="1:9" ht="19.5" customHeight="1">
      <c r="A47" s="7">
        <v>43</v>
      </c>
      <c r="B47" s="24"/>
      <c r="C47" s="143"/>
      <c r="D47" s="129"/>
      <c r="E47" s="350"/>
      <c r="F47" s="351"/>
      <c r="G47" s="352"/>
    </row>
    <row r="48" spans="1:9" ht="19.5" customHeight="1">
      <c r="A48" s="10">
        <v>44</v>
      </c>
      <c r="B48" s="24"/>
      <c r="C48" s="143"/>
      <c r="D48" s="129"/>
      <c r="E48" s="350"/>
      <c r="F48" s="351"/>
      <c r="G48" s="352"/>
    </row>
    <row r="49" spans="1:7" ht="19.5" customHeight="1" thickBot="1">
      <c r="A49" s="304">
        <v>45</v>
      </c>
      <c r="B49" s="305"/>
      <c r="C49" s="306"/>
      <c r="D49" s="168"/>
      <c r="E49" s="353"/>
      <c r="F49" s="354"/>
      <c r="G49" s="355"/>
    </row>
    <row r="50" spans="1:7" ht="19.5" customHeight="1" thickBot="1">
      <c r="A50" s="110" t="s">
        <v>10</v>
      </c>
      <c r="B50" s="111"/>
      <c r="C50" s="112"/>
      <c r="D50" s="726" t="s">
        <v>424</v>
      </c>
      <c r="E50" s="687"/>
      <c r="F50" s="735" t="s">
        <v>11</v>
      </c>
      <c r="G50" s="687"/>
    </row>
    <row r="51" spans="1:7" ht="19.5" customHeight="1">
      <c r="A51" s="718"/>
      <c r="B51" s="679"/>
      <c r="C51" s="679"/>
      <c r="D51" s="679"/>
      <c r="E51" s="679"/>
      <c r="F51" s="679"/>
      <c r="G51" s="680"/>
    </row>
    <row r="52" spans="1:7" ht="19.5" customHeight="1" thickBot="1">
      <c r="A52" s="681"/>
      <c r="B52" s="682"/>
      <c r="C52" s="682"/>
      <c r="D52" s="682"/>
      <c r="E52" s="682"/>
      <c r="F52" s="682"/>
      <c r="G52" s="683"/>
    </row>
  </sheetData>
  <sortState xmlns:xlrd2="http://schemas.microsoft.com/office/spreadsheetml/2017/richdata2" ref="E5:G49">
    <sortCondition ref="E5:E49"/>
  </sortState>
  <mergeCells count="11">
    <mergeCell ref="D50:E50"/>
    <mergeCell ref="F50:G50"/>
    <mergeCell ref="A51:G52"/>
    <mergeCell ref="F3:F4"/>
    <mergeCell ref="A1:D1"/>
    <mergeCell ref="E1:G1"/>
    <mergeCell ref="A2:G2"/>
    <mergeCell ref="A3:A4"/>
    <mergeCell ref="B3:B4"/>
    <mergeCell ref="C3:D3"/>
    <mergeCell ref="G3:G4"/>
  </mergeCells>
  <phoneticPr fontId="16" type="noConversion"/>
  <conditionalFormatting sqref="E5:E34 E36:E49">
    <cfRule type="cellIs" dxfId="0" priority="1" stopIfTrue="1" operator="between">
      <formula>1</formula>
      <formula>3.9</formula>
    </cfRule>
  </conditionalFormatting>
  <pageMargins left="0.82" right="0.17" top="0.39370078740157483" bottom="0.39370078740157483" header="0" footer="0"/>
  <pageSetup scale="73" orientation="portrait" horizontalDpi="360" verticalDpi="36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</sheetPr>
  <dimension ref="B1:K29"/>
  <sheetViews>
    <sheetView topLeftCell="A15" workbookViewId="0">
      <selection activeCell="M23" sqref="M23"/>
    </sheetView>
  </sheetViews>
  <sheetFormatPr baseColWidth="10" defaultColWidth="12.5703125" defaultRowHeight="15" customHeight="1"/>
  <cols>
    <col min="1" max="1" width="5.85546875" customWidth="1"/>
    <col min="2" max="2" width="9.28515625" customWidth="1"/>
    <col min="3" max="3" width="13.28515625" customWidth="1"/>
    <col min="4" max="6" width="7.42578125" customWidth="1"/>
    <col min="7" max="7" width="8.7109375" bestFit="1" customWidth="1"/>
    <col min="8" max="8" width="11.5703125" customWidth="1"/>
    <col min="9" max="26" width="10.5703125" customWidth="1"/>
  </cols>
  <sheetData>
    <row r="1" spans="2:8" ht="15" customHeight="1" thickBot="1"/>
    <row r="2" spans="2:8" ht="70.5" customHeight="1" thickBot="1">
      <c r="B2" s="37" t="s">
        <v>17</v>
      </c>
      <c r="C2" s="38" t="s">
        <v>18</v>
      </c>
      <c r="D2" s="39" t="s">
        <v>19</v>
      </c>
      <c r="E2" s="40" t="s">
        <v>20</v>
      </c>
      <c r="F2" s="41" t="s">
        <v>21</v>
      </c>
      <c r="G2" s="42" t="s">
        <v>22</v>
      </c>
      <c r="H2" s="42" t="s">
        <v>23</v>
      </c>
    </row>
    <row r="3" spans="2:8" ht="19.5" customHeight="1" thickBot="1">
      <c r="B3" s="16"/>
      <c r="C3" s="43"/>
      <c r="D3" s="43"/>
      <c r="E3" s="43"/>
      <c r="F3" s="43"/>
      <c r="G3" s="3"/>
      <c r="H3" s="3"/>
    </row>
    <row r="4" spans="2:8" ht="19.5" customHeight="1">
      <c r="B4" s="44" t="s">
        <v>24</v>
      </c>
      <c r="C4" s="45">
        <v>45</v>
      </c>
      <c r="D4" s="46"/>
      <c r="E4" s="156"/>
      <c r="F4" s="160">
        <f>C4+D4-E4</f>
        <v>45</v>
      </c>
      <c r="G4" s="736">
        <f>F9</f>
        <v>226</v>
      </c>
      <c r="H4" s="739">
        <f>G4+G10+G16+G22</f>
        <v>878</v>
      </c>
    </row>
    <row r="5" spans="2:8" ht="19.5" customHeight="1">
      <c r="B5" s="47" t="s">
        <v>25</v>
      </c>
      <c r="C5" s="48">
        <v>45</v>
      </c>
      <c r="D5" s="49"/>
      <c r="E5" s="157"/>
      <c r="F5" s="161">
        <f>C5+D5-E5</f>
        <v>45</v>
      </c>
      <c r="G5" s="737"/>
      <c r="H5" s="740"/>
    </row>
    <row r="6" spans="2:8" ht="19.5" customHeight="1">
      <c r="B6" s="50" t="s">
        <v>26</v>
      </c>
      <c r="C6" s="51">
        <v>45</v>
      </c>
      <c r="D6" s="52"/>
      <c r="E6" s="158"/>
      <c r="F6" s="161">
        <f t="shared" ref="F6:F8" si="0">C6+D6-E6</f>
        <v>45</v>
      </c>
      <c r="G6" s="737"/>
      <c r="H6" s="740"/>
    </row>
    <row r="7" spans="2:8" ht="19.5" customHeight="1">
      <c r="B7" s="54" t="s">
        <v>27</v>
      </c>
      <c r="C7" s="55">
        <v>46</v>
      </c>
      <c r="D7" s="49"/>
      <c r="E7" s="157"/>
      <c r="F7" s="161">
        <f t="shared" si="0"/>
        <v>46</v>
      </c>
      <c r="G7" s="737"/>
      <c r="H7" s="740"/>
    </row>
    <row r="8" spans="2:8" ht="19.5" customHeight="1" thickBot="1">
      <c r="B8" s="47" t="s">
        <v>28</v>
      </c>
      <c r="C8" s="56">
        <v>45</v>
      </c>
      <c r="D8" s="57"/>
      <c r="E8" s="159"/>
      <c r="F8" s="161">
        <f t="shared" si="0"/>
        <v>45</v>
      </c>
      <c r="G8" s="737"/>
      <c r="H8" s="740"/>
    </row>
    <row r="9" spans="2:8" ht="19.5" customHeight="1" thickBot="1">
      <c r="B9" s="59"/>
      <c r="C9" s="60">
        <f>SUM(C4:C8)</f>
        <v>226</v>
      </c>
      <c r="D9" s="60">
        <f>SUM(D4:D8)</f>
        <v>0</v>
      </c>
      <c r="E9" s="60">
        <f t="shared" ref="E9:F9" si="1">SUM(E4:E8)</f>
        <v>0</v>
      </c>
      <c r="F9" s="60">
        <f t="shared" si="1"/>
        <v>226</v>
      </c>
      <c r="G9" s="738"/>
      <c r="H9" s="740"/>
    </row>
    <row r="10" spans="2:8" ht="19.5" customHeight="1">
      <c r="B10" s="61" t="s">
        <v>29</v>
      </c>
      <c r="C10" s="45">
        <v>45</v>
      </c>
      <c r="D10" s="62"/>
      <c r="E10" s="63"/>
      <c r="F10" s="51">
        <f>C10+D10-E10</f>
        <v>45</v>
      </c>
      <c r="G10" s="739">
        <f>F15</f>
        <v>223</v>
      </c>
      <c r="H10" s="740"/>
    </row>
    <row r="11" spans="2:8" ht="19.5" customHeight="1">
      <c r="B11" s="64" t="s">
        <v>30</v>
      </c>
      <c r="C11" s="48">
        <v>44</v>
      </c>
      <c r="D11" s="52"/>
      <c r="E11" s="53"/>
      <c r="F11" s="51">
        <f>C11+D11-E11</f>
        <v>44</v>
      </c>
      <c r="G11" s="740"/>
      <c r="H11" s="740"/>
    </row>
    <row r="12" spans="2:8" ht="19.5" customHeight="1">
      <c r="B12" s="64" t="s">
        <v>31</v>
      </c>
      <c r="C12" s="51">
        <v>45</v>
      </c>
      <c r="D12" s="65"/>
      <c r="E12" s="66"/>
      <c r="F12" s="51">
        <f t="shared" ref="F12:F14" si="2">C12+D12-E12</f>
        <v>45</v>
      </c>
      <c r="G12" s="740"/>
      <c r="H12" s="740"/>
    </row>
    <row r="13" spans="2:8" ht="19.5" customHeight="1">
      <c r="B13" s="64" t="s">
        <v>32</v>
      </c>
      <c r="C13" s="55">
        <v>45</v>
      </c>
      <c r="D13" s="52"/>
      <c r="E13" s="53"/>
      <c r="F13" s="51">
        <f t="shared" si="2"/>
        <v>45</v>
      </c>
      <c r="G13" s="740"/>
      <c r="H13" s="740"/>
    </row>
    <row r="14" spans="2:8" ht="19.5" customHeight="1" thickBot="1">
      <c r="B14" s="67" t="s">
        <v>33</v>
      </c>
      <c r="C14" s="56">
        <v>44</v>
      </c>
      <c r="D14" s="57"/>
      <c r="E14" s="58"/>
      <c r="F14" s="51">
        <f t="shared" si="2"/>
        <v>44</v>
      </c>
      <c r="G14" s="740"/>
      <c r="H14" s="740"/>
    </row>
    <row r="15" spans="2:8" ht="19.5" customHeight="1" thickBot="1">
      <c r="B15" s="68"/>
      <c r="C15" s="69">
        <f>SUM(C10:C14)</f>
        <v>223</v>
      </c>
      <c r="D15" s="69">
        <f t="shared" ref="D15:F15" si="3">SUM(D10:D14)</f>
        <v>0</v>
      </c>
      <c r="E15" s="69">
        <f t="shared" si="3"/>
        <v>0</v>
      </c>
      <c r="F15" s="69">
        <f t="shared" si="3"/>
        <v>223</v>
      </c>
      <c r="G15" s="741"/>
      <c r="H15" s="740"/>
    </row>
    <row r="16" spans="2:8" ht="19.5" customHeight="1">
      <c r="B16" s="70" t="s">
        <v>34</v>
      </c>
      <c r="C16" s="45">
        <v>46</v>
      </c>
      <c r="D16" s="62"/>
      <c r="E16" s="162"/>
      <c r="F16" s="164">
        <f>C16+D16-E16</f>
        <v>46</v>
      </c>
      <c r="G16" s="736">
        <f>F21</f>
        <v>226</v>
      </c>
      <c r="H16" s="740"/>
    </row>
    <row r="17" spans="2:11" ht="19.5" customHeight="1">
      <c r="B17" s="64" t="s">
        <v>35</v>
      </c>
      <c r="C17" s="48">
        <v>48</v>
      </c>
      <c r="D17" s="52"/>
      <c r="E17" s="158"/>
      <c r="F17" s="169">
        <f>C17+D17-E17</f>
        <v>48</v>
      </c>
      <c r="G17" s="737"/>
      <c r="H17" s="740"/>
    </row>
    <row r="18" spans="2:11" ht="19.5" customHeight="1">
      <c r="B18" s="64" t="s">
        <v>36</v>
      </c>
      <c r="C18" s="51">
        <v>49</v>
      </c>
      <c r="D18" s="65"/>
      <c r="E18" s="163"/>
      <c r="F18" s="169">
        <f t="shared" ref="F18:F20" si="4">C18+D18-E18</f>
        <v>49</v>
      </c>
      <c r="G18" s="737"/>
      <c r="H18" s="740"/>
    </row>
    <row r="19" spans="2:11" ht="19.5" customHeight="1">
      <c r="B19" s="64" t="s">
        <v>37</v>
      </c>
      <c r="C19" s="55">
        <v>38</v>
      </c>
      <c r="D19" s="52"/>
      <c r="E19" s="158"/>
      <c r="F19" s="169">
        <f t="shared" si="4"/>
        <v>38</v>
      </c>
      <c r="G19" s="737"/>
      <c r="H19" s="740"/>
    </row>
    <row r="20" spans="2:11" ht="19.5" customHeight="1" thickBot="1">
      <c r="B20" s="67" t="s">
        <v>38</v>
      </c>
      <c r="C20" s="56">
        <v>45</v>
      </c>
      <c r="D20" s="57"/>
      <c r="E20" s="159"/>
      <c r="F20" s="169">
        <f t="shared" si="4"/>
        <v>45</v>
      </c>
      <c r="G20" s="737"/>
      <c r="H20" s="740"/>
    </row>
    <row r="21" spans="2:11" ht="19.5" customHeight="1" thickBot="1">
      <c r="B21" s="68"/>
      <c r="C21" s="69">
        <f>SUM(C16:C20)</f>
        <v>226</v>
      </c>
      <c r="D21" s="69">
        <f t="shared" ref="D21:F21" si="5">SUM(D16:D20)</f>
        <v>0</v>
      </c>
      <c r="E21" s="69">
        <f t="shared" si="5"/>
        <v>0</v>
      </c>
      <c r="F21" s="69">
        <f t="shared" si="5"/>
        <v>226</v>
      </c>
      <c r="G21" s="738"/>
      <c r="H21" s="740"/>
    </row>
    <row r="22" spans="2:11" ht="19.5" customHeight="1">
      <c r="B22" s="70" t="s">
        <v>39</v>
      </c>
      <c r="C22" s="45">
        <v>45</v>
      </c>
      <c r="D22" s="62"/>
      <c r="E22" s="63"/>
      <c r="F22" s="71">
        <f>C22+D22-E22</f>
        <v>45</v>
      </c>
      <c r="G22" s="739">
        <f>F27</f>
        <v>203</v>
      </c>
      <c r="H22" s="740"/>
    </row>
    <row r="23" spans="2:11" ht="19.5" customHeight="1">
      <c r="B23" s="64" t="s">
        <v>40</v>
      </c>
      <c r="C23" s="48">
        <v>44</v>
      </c>
      <c r="D23" s="52"/>
      <c r="E23" s="53"/>
      <c r="F23" s="71">
        <f t="shared" ref="F23:F26" si="6">C23+D23-E23</f>
        <v>44</v>
      </c>
      <c r="G23" s="740"/>
      <c r="H23" s="740"/>
    </row>
    <row r="24" spans="2:11" ht="19.5" customHeight="1">
      <c r="B24" s="64" t="s">
        <v>41</v>
      </c>
      <c r="C24" s="51">
        <v>45</v>
      </c>
      <c r="D24" s="65"/>
      <c r="E24" s="66"/>
      <c r="F24" s="71">
        <f t="shared" si="6"/>
        <v>45</v>
      </c>
      <c r="G24" s="740"/>
      <c r="H24" s="740"/>
    </row>
    <row r="25" spans="2:11" ht="19.5" customHeight="1">
      <c r="B25" s="64" t="s">
        <v>42</v>
      </c>
      <c r="C25" s="55">
        <v>29</v>
      </c>
      <c r="D25" s="52"/>
      <c r="E25" s="53"/>
      <c r="F25" s="71">
        <f t="shared" si="6"/>
        <v>29</v>
      </c>
      <c r="G25" s="740"/>
      <c r="H25" s="740"/>
      <c r="K25" t="s">
        <v>12</v>
      </c>
    </row>
    <row r="26" spans="2:11" ht="19.5" customHeight="1" thickBot="1">
      <c r="B26" s="67" t="s">
        <v>43</v>
      </c>
      <c r="C26" s="56">
        <v>40</v>
      </c>
      <c r="D26" s="52"/>
      <c r="E26" s="53"/>
      <c r="F26" s="71">
        <f t="shared" si="6"/>
        <v>40</v>
      </c>
      <c r="G26" s="740"/>
      <c r="H26" s="740"/>
    </row>
    <row r="27" spans="2:11" ht="19.5" customHeight="1" thickBot="1">
      <c r="B27" s="68"/>
      <c r="C27" s="69">
        <f>SUM(C22:C26)</f>
        <v>203</v>
      </c>
      <c r="D27" s="69">
        <f t="shared" ref="D27:E27" si="7">SUM(D22:D26)</f>
        <v>0</v>
      </c>
      <c r="E27" s="69">
        <f t="shared" si="7"/>
        <v>0</v>
      </c>
      <c r="F27" s="69">
        <f>SUM(F22:F26)</f>
        <v>203</v>
      </c>
      <c r="G27" s="741"/>
      <c r="H27" s="740"/>
    </row>
    <row r="28" spans="2:11" ht="19.5" customHeight="1" thickBot="1">
      <c r="B28" s="72" t="s">
        <v>44</v>
      </c>
      <c r="C28" s="73">
        <f>C27+C21+C15+C9</f>
        <v>878</v>
      </c>
      <c r="D28" s="73">
        <f t="shared" ref="D28:F28" si="8">D27+D21+D15+D9</f>
        <v>0</v>
      </c>
      <c r="E28" s="73">
        <f t="shared" si="8"/>
        <v>0</v>
      </c>
      <c r="F28" s="73">
        <f t="shared" si="8"/>
        <v>878</v>
      </c>
      <c r="G28" s="74">
        <f>F28</f>
        <v>878</v>
      </c>
      <c r="H28" s="741"/>
    </row>
    <row r="29" spans="2:11" ht="23.25" customHeight="1" thickBot="1">
      <c r="B29" s="75"/>
      <c r="C29" s="76"/>
      <c r="D29" s="75"/>
      <c r="E29" s="75"/>
      <c r="F29" s="76"/>
      <c r="G29" s="77" t="s">
        <v>45</v>
      </c>
      <c r="H29" s="78" t="s">
        <v>1921</v>
      </c>
    </row>
  </sheetData>
  <mergeCells count="5">
    <mergeCell ref="G4:G9"/>
    <mergeCell ref="H4:H28"/>
    <mergeCell ref="G10:G15"/>
    <mergeCell ref="G16:G21"/>
    <mergeCell ref="G22:G27"/>
  </mergeCells>
  <pageMargins left="0.25" right="0.25" top="0.75" bottom="0.75" header="0" footer="0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18</vt:i4>
      </vt:variant>
    </vt:vector>
  </HeadingPairs>
  <TitlesOfParts>
    <vt:vector size="39" baseType="lpstr">
      <vt:lpstr>1°A 2026</vt:lpstr>
      <vt:lpstr>1°B 2026</vt:lpstr>
      <vt:lpstr>1°C 2026</vt:lpstr>
      <vt:lpstr>1°D 2026</vt:lpstr>
      <vt:lpstr>1°E 2026</vt:lpstr>
      <vt:lpstr>2°A 2026</vt:lpstr>
      <vt:lpstr>2°B 2026</vt:lpstr>
      <vt:lpstr>2°C 2026</vt:lpstr>
      <vt:lpstr>2°D 2026</vt:lpstr>
      <vt:lpstr>2°E 2026</vt:lpstr>
      <vt:lpstr>3°A 2026</vt:lpstr>
      <vt:lpstr>3°B 2026</vt:lpstr>
      <vt:lpstr>3°C 2026</vt:lpstr>
      <vt:lpstr>3°D 2026</vt:lpstr>
      <vt:lpstr>3°E 2026</vt:lpstr>
      <vt:lpstr>4°A 2026</vt:lpstr>
      <vt:lpstr>4°B 2026</vt:lpstr>
      <vt:lpstr>4°C 2026</vt:lpstr>
      <vt:lpstr>4°D 2026</vt:lpstr>
      <vt:lpstr>4°E 2026</vt:lpstr>
      <vt:lpstr>RESUMEN</vt:lpstr>
      <vt:lpstr>'1°A 2026'!Área_de_impresión</vt:lpstr>
      <vt:lpstr>'1°B 2026'!Área_de_impresión</vt:lpstr>
      <vt:lpstr>'1°C 2026'!Área_de_impresión</vt:lpstr>
      <vt:lpstr>'1°D 2026'!Área_de_impresión</vt:lpstr>
      <vt:lpstr>'1°E 2026'!Área_de_impresión</vt:lpstr>
      <vt:lpstr>'2°A 2026'!Área_de_impresión</vt:lpstr>
      <vt:lpstr>'2°B 2026'!Área_de_impresión</vt:lpstr>
      <vt:lpstr>'2°C 2026'!Área_de_impresión</vt:lpstr>
      <vt:lpstr>'2°D 2026'!Área_de_impresión</vt:lpstr>
      <vt:lpstr>'2°E 2026'!Área_de_impresión</vt:lpstr>
      <vt:lpstr>'3°B 2026'!Área_de_impresión</vt:lpstr>
      <vt:lpstr>'3°C 2026'!Área_de_impresión</vt:lpstr>
      <vt:lpstr>'3°D 2026'!Área_de_impresión</vt:lpstr>
      <vt:lpstr>'3°E 2026'!Área_de_impresión</vt:lpstr>
      <vt:lpstr>'4°A 2026'!Área_de_impresión</vt:lpstr>
      <vt:lpstr>'4°C 2026'!Área_de_impresión</vt:lpstr>
      <vt:lpstr>'4°D 2026'!Área_de_impresión</vt:lpstr>
      <vt:lpstr>'4°E 2026'!Área_de_impresión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FLORIDOR JUSTINO SAAVEDRA SAAVEDRA</cp:lastModifiedBy>
  <cp:lastPrinted>2026-01-06T16:36:09Z</cp:lastPrinted>
  <dcterms:created xsi:type="dcterms:W3CDTF">2004-01-12T14:14:33Z</dcterms:created>
  <dcterms:modified xsi:type="dcterms:W3CDTF">2026-03-03T18:34:51Z</dcterms:modified>
</cp:coreProperties>
</file>